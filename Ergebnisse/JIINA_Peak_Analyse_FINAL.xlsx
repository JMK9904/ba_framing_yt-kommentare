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rdner für Ordner xD\UNI Hildesheim\- Bachelorarbeit Woop Woop -\"/>
    </mc:Choice>
  </mc:AlternateContent>
  <xr:revisionPtr revIDLastSave="0" documentId="13_ncr:1_{6B39A828-44C6-4277-9D81-25FF25D1C0A9}" xr6:coauthVersionLast="47" xr6:coauthVersionMax="47" xr10:uidLastSave="{00000000-0000-0000-0000-000000000000}"/>
  <bookViews>
    <workbookView xWindow="10140" yWindow="0" windowWidth="10455" windowHeight="10905" activeTab="2" xr2:uid="{00000000-000D-0000-FFFF-FFFF00000000}"/>
  </bookViews>
  <sheets>
    <sheet name="Alle_Peaks" sheetId="1" r:id="rId1"/>
    <sheet name="Tabelle1" sheetId="4" r:id="rId2"/>
    <sheet name="Tukey_Peaks" sheetId="2" r:id="rId3"/>
    <sheet name="Top3_Peak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" i="1"/>
</calcChain>
</file>

<file path=xl/sharedStrings.xml><?xml version="1.0" encoding="utf-8"?>
<sst xmlns="http://schemas.openxmlformats.org/spreadsheetml/2006/main" count="79" uniqueCount="29">
  <si>
    <t>Topic-Nr</t>
  </si>
  <si>
    <t>Peak-Zeitfenster</t>
  </si>
  <si>
    <t>Start-Zeitfenster</t>
  </si>
  <si>
    <t>End-Zeitfenster</t>
  </si>
  <si>
    <t>Start-Häufigkeit</t>
  </si>
  <si>
    <t>Peak-Häufigkeit</t>
  </si>
  <si>
    <t>End-Häufigkeit</t>
  </si>
  <si>
    <t>Start-Anteil Korpus (%)</t>
  </si>
  <si>
    <t>Peak-Anteil Korpus (%)</t>
  </si>
  <si>
    <t>End-Anteil Korpus (%)</t>
  </si>
  <si>
    <t>Peak-Anteil Topic (%)</t>
  </si>
  <si>
    <t>Peak / Median</t>
  </si>
  <si>
    <t>Anstieg absolut</t>
  </si>
  <si>
    <t>Anstieg relativ (%)</t>
  </si>
  <si>
    <t>Anstiegsdauer (Zeitfenster)</t>
  </si>
  <si>
    <t>Abfall absolut</t>
  </si>
  <si>
    <t>Abfall relativ (%)</t>
  </si>
  <si>
    <t>Abfalldauer (Zeitfenster)</t>
  </si>
  <si>
    <t>Auffälliger Peak (Tukey)</t>
  </si>
  <si>
    <t>Q1 absolute</t>
  </si>
  <si>
    <t>Q3 absolute</t>
  </si>
  <si>
    <t>IQR absolute</t>
  </si>
  <si>
    <t>Tukey-Schwelle absolute</t>
  </si>
  <si>
    <t>Peak-Breite über Tukey-Schwelle</t>
  </si>
  <si>
    <t>Peak-Rang</t>
  </si>
  <si>
    <t>Dauer</t>
  </si>
  <si>
    <t>bin</t>
  </si>
  <si>
    <t>start</t>
  </si>
  <si>
    <t>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</si>
</sst>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14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20" fontId="0" fillId="0" borderId="0" xfId="0" applyNumberFormat="1"/>
  </cellXfs>
  <cellStyles count="1">
    <cellStyle name="Standard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66DBB-980C-4009-99A0-A53F3693052E}" name="Tabelle1" displayName="Tabelle1" ref="A1:Z238" totalsRowShown="0" headerRowDxfId="3" headerRowBorderDxfId="5" tableBorderDxfId="6">
  <autoFilter ref="A1:Z238" xr:uid="{ECA66DBB-980C-4009-99A0-A53F3693052E}"/>
  <tableColumns count="26">
    <tableColumn id="1" xr3:uid="{CA4EAFD1-6162-4C6D-87B4-B33F94780E2C}" name="Topic-Nr"/>
    <tableColumn id="2" xr3:uid="{828A7520-0825-4AD9-AE1E-3DD8A6670AC9}" name="Peak-Zeitfenster" dataDxfId="4"/>
    <tableColumn id="3" xr3:uid="{DCEA8BD9-FBD0-496C-B472-FE04256C33E3}" name="Start-Zeitfenster" dataDxfId="2"/>
    <tableColumn id="4" xr3:uid="{98D1031D-00BE-49FE-8E32-B7EC86831829}" name="End-Zeitfenster" dataDxfId="1"/>
    <tableColumn id="26" xr3:uid="{78F8904C-34B5-4832-A45B-4357B365C4CC}" name="Dauer" dataDxfId="0">
      <calculatedColumnFormula>_xlfn.DAYS(Tabelle1[[#This Row],[End-Zeitfenster]],Tabelle1[[#This Row],[Start-Zeitfenster]])</calculatedColumnFormula>
    </tableColumn>
    <tableColumn id="5" xr3:uid="{1F570247-A9B3-4BC9-AF47-98967ADCBFCE}" name="Start-Häufigkeit"/>
    <tableColumn id="6" xr3:uid="{3A89AADF-E915-4514-AFBB-C7546DAD3D24}" name="Peak-Häufigkeit"/>
    <tableColumn id="7" xr3:uid="{B7724B07-2EBB-4DE1-96D4-8B2AD5B2FAAF}" name="End-Häufigkeit"/>
    <tableColumn id="8" xr3:uid="{1F738782-3F3E-4EE9-8BEB-F4D29AD492D5}" name="Start-Anteil Korpus (%)"/>
    <tableColumn id="9" xr3:uid="{8BA59386-C84E-46A7-B5CF-BB37546841B7}" name="Peak-Anteil Korpus (%)"/>
    <tableColumn id="10" xr3:uid="{D4ACED57-8FEB-4611-8930-9696926667DC}" name="End-Anteil Korpus (%)"/>
    <tableColumn id="11" xr3:uid="{25F0BB73-AA43-4D8D-A1E4-323B705A8CEA}" name="Peak-Anteil Topic (%)"/>
    <tableColumn id="12" xr3:uid="{EDC19880-3CB4-42AE-94DA-73F07862EA29}" name="Peak / Median"/>
    <tableColumn id="13" xr3:uid="{3B973E32-1925-4936-824A-D8EC442FE09F}" name="Anstieg absolut"/>
    <tableColumn id="14" xr3:uid="{7F133FE8-B52E-4757-973B-D1CBC8154C95}" name="Anstieg relativ (%)"/>
    <tableColumn id="15" xr3:uid="{7D4D052F-8285-4606-9031-18C908DD5074}" name="Anstiegsdauer (Zeitfenster)"/>
    <tableColumn id="16" xr3:uid="{F823218B-D7A8-4A7B-9113-B8CCF776C3F7}" name="Abfall absolut"/>
    <tableColumn id="17" xr3:uid="{AACB978E-9740-4429-B40F-684197EC45D8}" name="Abfall relativ (%)"/>
    <tableColumn id="18" xr3:uid="{DDC614BD-2ECC-4E6F-A16A-D737D3963AC1}" name="Abfalldauer (Zeitfenster)"/>
    <tableColumn id="19" xr3:uid="{6291852B-796E-4376-96A0-6B1460DA22B2}" name="Auffälliger Peak (Tukey)"/>
    <tableColumn id="20" xr3:uid="{DAFC3FD3-C5FD-4C87-AB5E-72A7983509B0}" name="Q1 absolute"/>
    <tableColumn id="21" xr3:uid="{78C195C9-7227-4E8D-A529-9F840F254FC7}" name="Q3 absolute"/>
    <tableColumn id="22" xr3:uid="{E8E3340B-82A5-49E4-A165-586E9369FF40}" name="IQR absolute"/>
    <tableColumn id="23" xr3:uid="{F6A99FC9-6C57-424D-9848-77129A36F49D}" name="Tukey-Schwelle absolute"/>
    <tableColumn id="24" xr3:uid="{5B0F9059-B84D-47F2-9294-9B271FF936E8}" name="Peak-Breite über Tukey-Schwelle"/>
    <tableColumn id="25" xr3:uid="{56EF3B69-F402-423B-BEC6-B2E0106BC761}" name="Peak-Rang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workbookViewId="0">
      <selection activeCell="F6" sqref="F6"/>
    </sheetView>
  </sheetViews>
  <sheetFormatPr baseColWidth="10" defaultColWidth="9.140625" defaultRowHeight="15"/>
  <cols>
    <col min="1" max="1" width="10.7109375" customWidth="1"/>
    <col min="2" max="2" width="18" customWidth="1"/>
    <col min="3" max="3" width="17.85546875" style="5" customWidth="1"/>
    <col min="4" max="4" width="17" style="5" customWidth="1"/>
    <col min="5" max="5" width="15.28515625" style="5" customWidth="1"/>
    <col min="6" max="6" width="17.140625" customWidth="1"/>
    <col min="7" max="7" width="17.28515625" customWidth="1"/>
    <col min="8" max="8" width="16.28515625" customWidth="1"/>
    <col min="9" max="9" width="23.42578125" customWidth="1"/>
    <col min="10" max="10" width="23.5703125" customWidth="1"/>
    <col min="11" max="11" width="22.5703125" customWidth="1"/>
    <col min="12" max="12" width="22.140625" customWidth="1"/>
    <col min="13" max="13" width="16" customWidth="1"/>
    <col min="14" max="14" width="16.85546875" customWidth="1"/>
    <col min="15" max="15" width="19.42578125" customWidth="1"/>
    <col min="16" max="16" width="27.5703125" customWidth="1"/>
    <col min="17" max="17" width="15.42578125" customWidth="1"/>
    <col min="18" max="18" width="18" customWidth="1"/>
    <col min="19" max="19" width="25.28515625" customWidth="1"/>
    <col min="20" max="20" width="24.42578125" customWidth="1"/>
    <col min="21" max="22" width="13.7109375" customWidth="1"/>
    <col min="23" max="23" width="14.42578125" customWidth="1"/>
    <col min="24" max="24" width="25.28515625" customWidth="1"/>
    <col min="25" max="25" width="32.5703125" customWidth="1"/>
    <col min="26" max="26" width="12.42578125" customWidth="1"/>
  </cols>
  <sheetData>
    <row r="1" spans="1:26">
      <c r="A1" s="3" t="s">
        <v>0</v>
      </c>
      <c r="B1" s="3" t="s">
        <v>1</v>
      </c>
      <c r="C1" s="4" t="s">
        <v>2</v>
      </c>
      <c r="D1" s="4" t="s">
        <v>3</v>
      </c>
      <c r="E1" s="7" t="s">
        <v>25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>
      <c r="A2">
        <v>1</v>
      </c>
      <c r="B2" s="2">
        <v>45657.471277126737</v>
      </c>
      <c r="C2" s="5">
        <v>45593.379534505213</v>
      </c>
      <c r="D2" s="5">
        <v>45721.563019748261</v>
      </c>
      <c r="E2" s="6">
        <f>_xlfn.DAYS(Tabelle1[[#This Row],[End-Zeitfenster]],Tabelle1[[#This Row],[Start-Zeitfenster]])</f>
        <v>128</v>
      </c>
      <c r="F2">
        <v>11</v>
      </c>
      <c r="G2">
        <v>177</v>
      </c>
      <c r="H2">
        <v>11</v>
      </c>
      <c r="I2">
        <v>1.407</v>
      </c>
      <c r="J2">
        <v>4.8010000000000002</v>
      </c>
      <c r="K2">
        <v>2.14</v>
      </c>
      <c r="L2">
        <v>12.967000000000001</v>
      </c>
      <c r="M2">
        <v>7.6959999999999997</v>
      </c>
      <c r="N2">
        <v>166</v>
      </c>
      <c r="O2">
        <v>1509.0909999999999</v>
      </c>
      <c r="P2">
        <v>2</v>
      </c>
      <c r="Q2">
        <v>166</v>
      </c>
      <c r="R2">
        <v>93.784999999999997</v>
      </c>
      <c r="S2">
        <v>2</v>
      </c>
      <c r="T2" t="b">
        <v>1</v>
      </c>
      <c r="U2">
        <v>16.75</v>
      </c>
      <c r="V2">
        <v>52.75</v>
      </c>
      <c r="W2">
        <v>36</v>
      </c>
      <c r="X2">
        <v>106.75</v>
      </c>
      <c r="Y2">
        <v>2</v>
      </c>
      <c r="Z2">
        <v>1</v>
      </c>
    </row>
    <row r="3" spans="1:26">
      <c r="A3">
        <v>1</v>
      </c>
      <c r="B3" s="2">
        <v>45208.829078776042</v>
      </c>
      <c r="C3" s="5">
        <v>45144.737336154511</v>
      </c>
      <c r="D3" s="5">
        <v>45272.920821397573</v>
      </c>
      <c r="E3" s="6">
        <f>_xlfn.DAYS(Tabelle1[[#This Row],[End-Zeitfenster]],Tabelle1[[#This Row],[Start-Zeitfenster]])</f>
        <v>128</v>
      </c>
      <c r="F3">
        <v>20</v>
      </c>
      <c r="G3">
        <v>156</v>
      </c>
      <c r="H3">
        <v>23</v>
      </c>
      <c r="I3">
        <v>2.4449999999999998</v>
      </c>
      <c r="J3">
        <v>3.843</v>
      </c>
      <c r="K3">
        <v>1.6890000000000001</v>
      </c>
      <c r="L3">
        <v>11.429</v>
      </c>
      <c r="M3">
        <v>6.7830000000000004</v>
      </c>
      <c r="N3">
        <v>136</v>
      </c>
      <c r="O3">
        <v>680</v>
      </c>
      <c r="P3">
        <v>2</v>
      </c>
      <c r="Q3">
        <v>133</v>
      </c>
      <c r="R3">
        <v>85.256</v>
      </c>
      <c r="S3">
        <v>2</v>
      </c>
      <c r="T3" t="b">
        <v>1</v>
      </c>
      <c r="U3">
        <v>16.75</v>
      </c>
      <c r="V3">
        <v>52.75</v>
      </c>
      <c r="W3">
        <v>36</v>
      </c>
      <c r="X3">
        <v>106.75</v>
      </c>
      <c r="Y3">
        <v>1</v>
      </c>
      <c r="Z3">
        <v>2</v>
      </c>
    </row>
    <row r="4" spans="1:26">
      <c r="A4">
        <v>1</v>
      </c>
      <c r="B4" s="2">
        <v>45753.608891059033</v>
      </c>
      <c r="C4" s="5">
        <v>45721.563019748261</v>
      </c>
      <c r="D4" s="5">
        <v>45817.700633680557</v>
      </c>
      <c r="E4" s="6">
        <f>_xlfn.DAYS(Tabelle1[[#This Row],[End-Zeitfenster]],Tabelle1[[#This Row],[Start-Zeitfenster]])</f>
        <v>96</v>
      </c>
      <c r="F4">
        <v>11</v>
      </c>
      <c r="G4">
        <v>108</v>
      </c>
      <c r="H4">
        <v>19</v>
      </c>
      <c r="I4">
        <v>2.14</v>
      </c>
      <c r="J4">
        <v>4.9180000000000001</v>
      </c>
      <c r="K4">
        <v>2.754</v>
      </c>
      <c r="L4">
        <v>7.9119999999999999</v>
      </c>
      <c r="M4">
        <v>4.6959999999999997</v>
      </c>
      <c r="N4">
        <v>97</v>
      </c>
      <c r="O4">
        <v>881.81799999999998</v>
      </c>
      <c r="P4">
        <v>1</v>
      </c>
      <c r="Q4">
        <v>89</v>
      </c>
      <c r="R4">
        <v>82.406999999999996</v>
      </c>
      <c r="S4">
        <v>2</v>
      </c>
      <c r="T4" t="b">
        <v>1</v>
      </c>
      <c r="U4">
        <v>16.75</v>
      </c>
      <c r="V4">
        <v>52.75</v>
      </c>
      <c r="W4">
        <v>36</v>
      </c>
      <c r="X4">
        <v>106.75</v>
      </c>
      <c r="Y4">
        <v>1</v>
      </c>
      <c r="Z4">
        <v>3</v>
      </c>
    </row>
    <row r="5" spans="1:26">
      <c r="A5">
        <v>1</v>
      </c>
      <c r="B5" s="2">
        <v>45433.150177951393</v>
      </c>
      <c r="C5" s="5">
        <v>45401.104306640627</v>
      </c>
      <c r="D5" s="5">
        <v>45465.196049262151</v>
      </c>
      <c r="E5" s="6">
        <f>_xlfn.DAYS(Tabelle1[[#This Row],[End-Zeitfenster]],Tabelle1[[#This Row],[Start-Zeitfenster]])</f>
        <v>64</v>
      </c>
      <c r="F5">
        <v>23</v>
      </c>
      <c r="G5">
        <v>71</v>
      </c>
      <c r="H5">
        <v>21</v>
      </c>
      <c r="I5">
        <v>1.1970000000000001</v>
      </c>
      <c r="J5">
        <v>2.355</v>
      </c>
      <c r="K5">
        <v>1.3819999999999999</v>
      </c>
      <c r="L5">
        <v>5.2009999999999996</v>
      </c>
      <c r="M5">
        <v>3.0870000000000002</v>
      </c>
      <c r="N5">
        <v>48</v>
      </c>
      <c r="O5">
        <v>208.696</v>
      </c>
      <c r="P5">
        <v>1</v>
      </c>
      <c r="Q5">
        <v>50</v>
      </c>
      <c r="R5">
        <v>70.423000000000002</v>
      </c>
      <c r="S5">
        <v>1</v>
      </c>
      <c r="T5" t="b">
        <v>0</v>
      </c>
      <c r="U5">
        <v>16.75</v>
      </c>
      <c r="V5">
        <v>52.75</v>
      </c>
      <c r="W5">
        <v>36</v>
      </c>
      <c r="X5">
        <v>106.75</v>
      </c>
      <c r="Y5">
        <v>1</v>
      </c>
      <c r="Z5">
        <v>4</v>
      </c>
    </row>
    <row r="6" spans="1:26">
      <c r="A6">
        <v>1</v>
      </c>
      <c r="B6" s="2">
        <v>45529.287791883682</v>
      </c>
      <c r="C6" s="5">
        <v>45465.196049262151</v>
      </c>
      <c r="D6" s="5">
        <v>45593.379534505213</v>
      </c>
      <c r="E6" s="6">
        <f>_xlfn.DAYS(Tabelle1[[#This Row],[End-Zeitfenster]],Tabelle1[[#This Row],[Start-Zeitfenster]])</f>
        <v>128</v>
      </c>
      <c r="F6">
        <v>21</v>
      </c>
      <c r="G6">
        <v>67</v>
      </c>
      <c r="H6">
        <v>11</v>
      </c>
      <c r="I6">
        <v>1.3819999999999999</v>
      </c>
      <c r="J6">
        <v>6.1189999999999998</v>
      </c>
      <c r="K6">
        <v>1.407</v>
      </c>
      <c r="L6">
        <v>4.9080000000000004</v>
      </c>
      <c r="M6">
        <v>2.9129999999999998</v>
      </c>
      <c r="N6">
        <v>46</v>
      </c>
      <c r="O6">
        <v>219.048</v>
      </c>
      <c r="P6">
        <v>2</v>
      </c>
      <c r="Q6">
        <v>56</v>
      </c>
      <c r="R6">
        <v>83.581999999999994</v>
      </c>
      <c r="S6">
        <v>2</v>
      </c>
      <c r="T6" t="b">
        <v>0</v>
      </c>
      <c r="U6">
        <v>16.75</v>
      </c>
      <c r="V6">
        <v>52.75</v>
      </c>
      <c r="W6">
        <v>36</v>
      </c>
      <c r="X6">
        <v>106.75</v>
      </c>
      <c r="Y6">
        <v>1</v>
      </c>
      <c r="Z6">
        <v>5</v>
      </c>
    </row>
    <row r="7" spans="1:26">
      <c r="A7">
        <v>1</v>
      </c>
      <c r="B7" s="2">
        <v>45080.645593532987</v>
      </c>
      <c r="C7" s="5">
        <v>45047.574254340281</v>
      </c>
      <c r="D7" s="5">
        <v>45144.737336154511</v>
      </c>
      <c r="E7" s="6">
        <f>_xlfn.DAYS(Tabelle1[[#This Row],[End-Zeitfenster]],Tabelle1[[#This Row],[Start-Zeitfenster]])</f>
        <v>97</v>
      </c>
      <c r="F7">
        <v>12</v>
      </c>
      <c r="G7">
        <v>64</v>
      </c>
      <c r="H7">
        <v>20</v>
      </c>
      <c r="I7">
        <v>1.964</v>
      </c>
      <c r="J7">
        <v>3.8460000000000001</v>
      </c>
      <c r="K7">
        <v>2.4449999999999998</v>
      </c>
      <c r="L7">
        <v>4.6890000000000001</v>
      </c>
      <c r="M7">
        <v>2.7829999999999999</v>
      </c>
      <c r="N7">
        <v>52</v>
      </c>
      <c r="O7">
        <v>433.33300000000003</v>
      </c>
      <c r="P7">
        <v>1</v>
      </c>
      <c r="Q7">
        <v>44</v>
      </c>
      <c r="R7">
        <v>68.75</v>
      </c>
      <c r="S7">
        <v>2</v>
      </c>
      <c r="T7" t="b">
        <v>0</v>
      </c>
      <c r="U7">
        <v>16.75</v>
      </c>
      <c r="V7">
        <v>52.75</v>
      </c>
      <c r="W7">
        <v>36</v>
      </c>
      <c r="X7">
        <v>106.75</v>
      </c>
      <c r="Y7">
        <v>1</v>
      </c>
      <c r="Z7">
        <v>6</v>
      </c>
    </row>
    <row r="8" spans="1:26">
      <c r="A8">
        <v>1</v>
      </c>
      <c r="B8" s="2">
        <v>45304.966692708331</v>
      </c>
      <c r="C8" s="5">
        <v>45272.920821397573</v>
      </c>
      <c r="D8" s="5">
        <v>45337.012564019104</v>
      </c>
      <c r="E8" s="6">
        <f>_xlfn.DAYS(Tabelle1[[#This Row],[End-Zeitfenster]],Tabelle1[[#This Row],[Start-Zeitfenster]])</f>
        <v>65</v>
      </c>
      <c r="F8">
        <v>23</v>
      </c>
      <c r="G8">
        <v>49</v>
      </c>
      <c r="H8">
        <v>21</v>
      </c>
      <c r="I8">
        <v>1.6890000000000001</v>
      </c>
      <c r="J8">
        <v>1.875</v>
      </c>
      <c r="K8">
        <v>1.3320000000000001</v>
      </c>
      <c r="L8">
        <v>3.59</v>
      </c>
      <c r="M8">
        <v>2.13</v>
      </c>
      <c r="N8">
        <v>26</v>
      </c>
      <c r="O8">
        <v>113.04300000000001</v>
      </c>
      <c r="P8">
        <v>1</v>
      </c>
      <c r="Q8">
        <v>28</v>
      </c>
      <c r="R8">
        <v>57.143000000000001</v>
      </c>
      <c r="S8">
        <v>1</v>
      </c>
      <c r="T8" t="b">
        <v>0</v>
      </c>
      <c r="U8">
        <v>16.75</v>
      </c>
      <c r="V8">
        <v>52.75</v>
      </c>
      <c r="W8">
        <v>36</v>
      </c>
      <c r="X8">
        <v>106.75</v>
      </c>
      <c r="Y8">
        <v>1</v>
      </c>
      <c r="Z8">
        <v>7</v>
      </c>
    </row>
    <row r="9" spans="1:26">
      <c r="A9">
        <v>1</v>
      </c>
      <c r="B9" s="2">
        <v>45369.058435329862</v>
      </c>
      <c r="C9" s="5">
        <v>45337.012564019104</v>
      </c>
      <c r="D9" s="5">
        <v>45401.104306640627</v>
      </c>
      <c r="E9" s="6">
        <f>_xlfn.DAYS(Tabelle1[[#This Row],[End-Zeitfenster]],Tabelle1[[#This Row],[Start-Zeitfenster]])</f>
        <v>64</v>
      </c>
      <c r="F9">
        <v>21</v>
      </c>
      <c r="G9">
        <v>31</v>
      </c>
      <c r="H9">
        <v>23</v>
      </c>
      <c r="I9">
        <v>1.3320000000000001</v>
      </c>
      <c r="J9">
        <v>3.004</v>
      </c>
      <c r="K9">
        <v>1.1970000000000001</v>
      </c>
      <c r="L9">
        <v>2.2709999999999999</v>
      </c>
      <c r="M9">
        <v>1.3480000000000001</v>
      </c>
      <c r="N9">
        <v>10</v>
      </c>
      <c r="O9">
        <v>47.619</v>
      </c>
      <c r="P9">
        <v>1</v>
      </c>
      <c r="Q9">
        <v>8</v>
      </c>
      <c r="R9">
        <v>25.806000000000001</v>
      </c>
      <c r="S9">
        <v>1</v>
      </c>
      <c r="T9" t="b">
        <v>0</v>
      </c>
      <c r="U9">
        <v>16.75</v>
      </c>
      <c r="V9">
        <v>52.75</v>
      </c>
      <c r="W9">
        <v>36</v>
      </c>
      <c r="X9">
        <v>106.75</v>
      </c>
      <c r="Y9">
        <v>1</v>
      </c>
      <c r="Z9">
        <v>8</v>
      </c>
    </row>
    <row r="10" spans="1:26">
      <c r="A10">
        <v>1</v>
      </c>
      <c r="B10" s="2">
        <v>45849.746504991323</v>
      </c>
      <c r="C10" s="5">
        <v>45817.700633680557</v>
      </c>
      <c r="D10" s="5">
        <v>45881.792376302081</v>
      </c>
      <c r="E10" s="6">
        <f>_xlfn.DAYS(Tabelle1[[#This Row],[End-Zeitfenster]],Tabelle1[[#This Row],[Start-Zeitfenster]])</f>
        <v>64</v>
      </c>
      <c r="F10">
        <v>19</v>
      </c>
      <c r="G10">
        <v>23</v>
      </c>
      <c r="H10">
        <v>16</v>
      </c>
      <c r="I10">
        <v>2.754</v>
      </c>
      <c r="J10">
        <v>2.6230000000000002</v>
      </c>
      <c r="K10">
        <v>1.397</v>
      </c>
      <c r="L10">
        <v>1.6850000000000001</v>
      </c>
      <c r="M10">
        <v>1</v>
      </c>
      <c r="N10">
        <v>4</v>
      </c>
      <c r="O10">
        <v>21.053000000000001</v>
      </c>
      <c r="P10">
        <v>1</v>
      </c>
      <c r="Q10">
        <v>7</v>
      </c>
      <c r="R10">
        <v>30.434999999999999</v>
      </c>
      <c r="S10">
        <v>1</v>
      </c>
      <c r="T10" t="b">
        <v>0</v>
      </c>
      <c r="U10">
        <v>16.75</v>
      </c>
      <c r="V10">
        <v>52.75</v>
      </c>
      <c r="W10">
        <v>36</v>
      </c>
      <c r="X10">
        <v>106.75</v>
      </c>
      <c r="Y10">
        <v>1</v>
      </c>
      <c r="Z10">
        <v>9</v>
      </c>
    </row>
    <row r="11" spans="1:26">
      <c r="A11">
        <v>1</v>
      </c>
      <c r="B11" s="2">
        <v>45913.838247612854</v>
      </c>
      <c r="C11" s="5">
        <v>45881.792376302081</v>
      </c>
      <c r="D11" s="5">
        <v>45977.929990234377</v>
      </c>
      <c r="E11" s="6">
        <f>_xlfn.DAYS(Tabelle1[[#This Row],[End-Zeitfenster]],Tabelle1[[#This Row],[Start-Zeitfenster]])</f>
        <v>96</v>
      </c>
      <c r="F11">
        <v>16</v>
      </c>
      <c r="G11">
        <v>17</v>
      </c>
      <c r="H11">
        <v>5</v>
      </c>
      <c r="I11">
        <v>1.397</v>
      </c>
      <c r="J11">
        <v>3.1539999999999999</v>
      </c>
      <c r="K11">
        <v>0.71599999999999997</v>
      </c>
      <c r="L11">
        <v>1.2450000000000001</v>
      </c>
      <c r="M11">
        <v>0.73899999999999999</v>
      </c>
      <c r="N11">
        <v>1</v>
      </c>
      <c r="O11">
        <v>6.25</v>
      </c>
      <c r="P11">
        <v>1</v>
      </c>
      <c r="Q11">
        <v>12</v>
      </c>
      <c r="R11">
        <v>70.587999999999994</v>
      </c>
      <c r="S11">
        <v>2</v>
      </c>
      <c r="T11" t="b">
        <v>0</v>
      </c>
      <c r="U11">
        <v>16.75</v>
      </c>
      <c r="V11">
        <v>52.75</v>
      </c>
      <c r="W11">
        <v>36</v>
      </c>
      <c r="X11">
        <v>106.75</v>
      </c>
      <c r="Y11">
        <v>1</v>
      </c>
      <c r="Z11">
        <v>10</v>
      </c>
    </row>
    <row r="12" spans="1:26">
      <c r="A12">
        <v>1</v>
      </c>
      <c r="B12" s="2">
        <v>46009.975861545143</v>
      </c>
      <c r="C12" s="5">
        <v>45977.929990234377</v>
      </c>
      <c r="D12" s="5">
        <v>46042.021732855901</v>
      </c>
      <c r="E12" s="6">
        <f>_xlfn.DAYS(Tabelle1[[#This Row],[End-Zeitfenster]],Tabelle1[[#This Row],[Start-Zeitfenster]])</f>
        <v>65</v>
      </c>
      <c r="F12">
        <v>5</v>
      </c>
      <c r="G12">
        <v>10</v>
      </c>
      <c r="H12">
        <v>1</v>
      </c>
      <c r="I12">
        <v>0.71599999999999997</v>
      </c>
      <c r="J12">
        <v>2.347</v>
      </c>
      <c r="K12">
        <v>4.5449999999999999</v>
      </c>
      <c r="L12">
        <v>0.73299999999999998</v>
      </c>
      <c r="M12">
        <v>0.435</v>
      </c>
      <c r="N12">
        <v>5</v>
      </c>
      <c r="O12">
        <v>100</v>
      </c>
      <c r="P12">
        <v>1</v>
      </c>
      <c r="Q12">
        <v>9</v>
      </c>
      <c r="R12">
        <v>90</v>
      </c>
      <c r="S12">
        <v>1</v>
      </c>
      <c r="T12" t="b">
        <v>0</v>
      </c>
      <c r="U12">
        <v>16.75</v>
      </c>
      <c r="V12">
        <v>52.75</v>
      </c>
      <c r="W12">
        <v>36</v>
      </c>
      <c r="X12">
        <v>106.75</v>
      </c>
      <c r="Y12">
        <v>1</v>
      </c>
      <c r="Z12">
        <v>11</v>
      </c>
    </row>
    <row r="13" spans="1:26">
      <c r="A13">
        <v>3</v>
      </c>
      <c r="B13" s="2">
        <v>45753.608891059033</v>
      </c>
      <c r="C13" s="5">
        <v>45721.563019748261</v>
      </c>
      <c r="D13" s="5">
        <v>45817.700633680557</v>
      </c>
      <c r="E13" s="6">
        <f>_xlfn.DAYS(Tabelle1[[#This Row],[End-Zeitfenster]],Tabelle1[[#This Row],[Start-Zeitfenster]])</f>
        <v>96</v>
      </c>
      <c r="F13">
        <v>5</v>
      </c>
      <c r="G13">
        <v>130</v>
      </c>
      <c r="H13">
        <v>8</v>
      </c>
      <c r="I13">
        <v>0.97299999999999998</v>
      </c>
      <c r="J13">
        <v>5.92</v>
      </c>
      <c r="K13">
        <v>1.159</v>
      </c>
      <c r="L13">
        <v>14.673</v>
      </c>
      <c r="M13">
        <v>6.5</v>
      </c>
      <c r="N13">
        <v>125</v>
      </c>
      <c r="O13">
        <v>2500</v>
      </c>
      <c r="P13">
        <v>1</v>
      </c>
      <c r="Q13">
        <v>122</v>
      </c>
      <c r="R13">
        <v>93.846000000000004</v>
      </c>
      <c r="S13">
        <v>2</v>
      </c>
      <c r="T13" t="b">
        <v>1</v>
      </c>
      <c r="U13">
        <v>11</v>
      </c>
      <c r="V13">
        <v>36.5</v>
      </c>
      <c r="W13">
        <v>25.5</v>
      </c>
      <c r="X13">
        <v>74.75</v>
      </c>
      <c r="Y13">
        <v>1</v>
      </c>
      <c r="Z13">
        <v>1</v>
      </c>
    </row>
    <row r="14" spans="1:26">
      <c r="A14">
        <v>3</v>
      </c>
      <c r="B14" s="2">
        <v>45657.471277126737</v>
      </c>
      <c r="C14" s="5">
        <v>45625.425405815971</v>
      </c>
      <c r="D14" s="5">
        <v>45721.563019748261</v>
      </c>
      <c r="E14" s="6">
        <f>_xlfn.DAYS(Tabelle1[[#This Row],[End-Zeitfenster]],Tabelle1[[#This Row],[Start-Zeitfenster]])</f>
        <v>96</v>
      </c>
      <c r="F14">
        <v>7</v>
      </c>
      <c r="G14">
        <v>88</v>
      </c>
      <c r="H14">
        <v>5</v>
      </c>
      <c r="I14">
        <v>0.58399999999999996</v>
      </c>
      <c r="J14">
        <v>2.387</v>
      </c>
      <c r="K14">
        <v>0.97299999999999998</v>
      </c>
      <c r="L14">
        <v>9.9320000000000004</v>
      </c>
      <c r="M14">
        <v>4.4000000000000004</v>
      </c>
      <c r="N14">
        <v>81</v>
      </c>
      <c r="O14">
        <v>1157.143</v>
      </c>
      <c r="P14">
        <v>1</v>
      </c>
      <c r="Q14">
        <v>83</v>
      </c>
      <c r="R14">
        <v>94.317999999999998</v>
      </c>
      <c r="S14">
        <v>2</v>
      </c>
      <c r="T14" t="b">
        <v>1</v>
      </c>
      <c r="U14">
        <v>11</v>
      </c>
      <c r="V14">
        <v>36.5</v>
      </c>
      <c r="W14">
        <v>25.5</v>
      </c>
      <c r="X14">
        <v>74.75</v>
      </c>
      <c r="Y14">
        <v>1</v>
      </c>
      <c r="Z14">
        <v>2</v>
      </c>
    </row>
    <row r="15" spans="1:26">
      <c r="A15">
        <v>3</v>
      </c>
      <c r="B15" s="2">
        <v>45433.150177951393</v>
      </c>
      <c r="C15" s="5">
        <v>45369.058435329862</v>
      </c>
      <c r="D15" s="5">
        <v>45465.196049262151</v>
      </c>
      <c r="E15" s="6">
        <f>_xlfn.DAYS(Tabelle1[[#This Row],[End-Zeitfenster]],Tabelle1[[#This Row],[Start-Zeitfenster]])</f>
        <v>96</v>
      </c>
      <c r="F15">
        <v>6</v>
      </c>
      <c r="G15">
        <v>53</v>
      </c>
      <c r="H15">
        <v>35</v>
      </c>
      <c r="I15">
        <v>0.58099999999999996</v>
      </c>
      <c r="J15">
        <v>1.758</v>
      </c>
      <c r="K15">
        <v>2.3039999999999998</v>
      </c>
      <c r="L15">
        <v>5.9820000000000002</v>
      </c>
      <c r="M15">
        <v>2.65</v>
      </c>
      <c r="N15">
        <v>47</v>
      </c>
      <c r="O15">
        <v>783.33299999999997</v>
      </c>
      <c r="P15">
        <v>2</v>
      </c>
      <c r="Q15">
        <v>18</v>
      </c>
      <c r="R15">
        <v>33.962000000000003</v>
      </c>
      <c r="S15">
        <v>1</v>
      </c>
      <c r="T15" t="b">
        <v>0</v>
      </c>
      <c r="U15">
        <v>11</v>
      </c>
      <c r="V15">
        <v>36.5</v>
      </c>
      <c r="W15">
        <v>25.5</v>
      </c>
      <c r="X15">
        <v>74.75</v>
      </c>
      <c r="Y15">
        <v>1</v>
      </c>
      <c r="Z15">
        <v>3</v>
      </c>
    </row>
    <row r="16" spans="1:26">
      <c r="A16">
        <v>3</v>
      </c>
      <c r="B16" s="2">
        <v>45881.792376302081</v>
      </c>
      <c r="C16" s="5">
        <v>45817.700633680557</v>
      </c>
      <c r="D16" s="5">
        <v>45913.838247612854</v>
      </c>
      <c r="E16" s="6">
        <f>_xlfn.DAYS(Tabelle1[[#This Row],[End-Zeitfenster]],Tabelle1[[#This Row],[Start-Zeitfenster]])</f>
        <v>96</v>
      </c>
      <c r="F16">
        <v>8</v>
      </c>
      <c r="G16">
        <v>41</v>
      </c>
      <c r="H16">
        <v>12</v>
      </c>
      <c r="I16">
        <v>1.159</v>
      </c>
      <c r="J16">
        <v>3.581</v>
      </c>
      <c r="K16">
        <v>2.226</v>
      </c>
      <c r="L16">
        <v>4.6280000000000001</v>
      </c>
      <c r="M16">
        <v>2.0499999999999998</v>
      </c>
      <c r="N16">
        <v>33</v>
      </c>
      <c r="O16">
        <v>412.5</v>
      </c>
      <c r="P16">
        <v>2</v>
      </c>
      <c r="Q16">
        <v>29</v>
      </c>
      <c r="R16">
        <v>70.731999999999999</v>
      </c>
      <c r="S16">
        <v>1</v>
      </c>
      <c r="T16" t="b">
        <v>0</v>
      </c>
      <c r="U16">
        <v>11</v>
      </c>
      <c r="V16">
        <v>36.5</v>
      </c>
      <c r="W16">
        <v>25.5</v>
      </c>
      <c r="X16">
        <v>74.75</v>
      </c>
      <c r="Y16">
        <v>1</v>
      </c>
      <c r="Z16">
        <v>4</v>
      </c>
    </row>
    <row r="17" spans="1:26">
      <c r="A17">
        <v>3</v>
      </c>
      <c r="B17" s="2">
        <v>45080.645593532987</v>
      </c>
      <c r="C17" s="5">
        <v>45047.574254340281</v>
      </c>
      <c r="D17" s="5">
        <v>45144.737336154511</v>
      </c>
      <c r="E17" s="6">
        <f>_xlfn.DAYS(Tabelle1[[#This Row],[End-Zeitfenster]],Tabelle1[[#This Row],[Start-Zeitfenster]])</f>
        <v>97</v>
      </c>
      <c r="F17">
        <v>13</v>
      </c>
      <c r="G17">
        <v>40</v>
      </c>
      <c r="H17">
        <v>8</v>
      </c>
      <c r="I17">
        <v>2.1280000000000001</v>
      </c>
      <c r="J17">
        <v>2.4039999999999999</v>
      </c>
      <c r="K17">
        <v>0.97799999999999998</v>
      </c>
      <c r="L17">
        <v>4.5149999999999997</v>
      </c>
      <c r="M17">
        <v>2</v>
      </c>
      <c r="N17">
        <v>27</v>
      </c>
      <c r="O17">
        <v>207.69200000000001</v>
      </c>
      <c r="P17">
        <v>1</v>
      </c>
      <c r="Q17">
        <v>32</v>
      </c>
      <c r="R17">
        <v>80</v>
      </c>
      <c r="S17">
        <v>2</v>
      </c>
      <c r="T17" t="b">
        <v>0</v>
      </c>
      <c r="U17">
        <v>11</v>
      </c>
      <c r="V17">
        <v>36.5</v>
      </c>
      <c r="W17">
        <v>25.5</v>
      </c>
      <c r="X17">
        <v>74.75</v>
      </c>
      <c r="Y17">
        <v>1</v>
      </c>
      <c r="Z17">
        <v>5</v>
      </c>
    </row>
    <row r="18" spans="1:26">
      <c r="A18">
        <v>3</v>
      </c>
      <c r="B18" s="2">
        <v>45497.241920572917</v>
      </c>
      <c r="C18" s="5">
        <v>45465.196049262151</v>
      </c>
      <c r="D18" s="5">
        <v>45625.425405815971</v>
      </c>
      <c r="E18" s="6">
        <f>_xlfn.DAYS(Tabelle1[[#This Row],[End-Zeitfenster]],Tabelle1[[#This Row],[Start-Zeitfenster]])</f>
        <v>160</v>
      </c>
      <c r="F18">
        <v>35</v>
      </c>
      <c r="G18">
        <v>37</v>
      </c>
      <c r="H18">
        <v>7</v>
      </c>
      <c r="I18">
        <v>2.3039999999999998</v>
      </c>
      <c r="J18">
        <v>2.637</v>
      </c>
      <c r="K18">
        <v>0.58399999999999996</v>
      </c>
      <c r="L18">
        <v>4.1760000000000002</v>
      </c>
      <c r="M18">
        <v>1.85</v>
      </c>
      <c r="N18">
        <v>2</v>
      </c>
      <c r="O18">
        <v>5.7140000000000004</v>
      </c>
      <c r="P18">
        <v>1</v>
      </c>
      <c r="Q18">
        <v>30</v>
      </c>
      <c r="R18">
        <v>81.081000000000003</v>
      </c>
      <c r="S18">
        <v>4</v>
      </c>
      <c r="T18" t="b">
        <v>0</v>
      </c>
      <c r="U18">
        <v>11</v>
      </c>
      <c r="V18">
        <v>36.5</v>
      </c>
      <c r="W18">
        <v>25.5</v>
      </c>
      <c r="X18">
        <v>74.75</v>
      </c>
      <c r="Y18">
        <v>1</v>
      </c>
      <c r="Z18">
        <v>6</v>
      </c>
    </row>
    <row r="19" spans="1:26">
      <c r="A19">
        <v>3</v>
      </c>
      <c r="B19" s="2">
        <v>45304.966692708331</v>
      </c>
      <c r="C19" s="5">
        <v>45272.920821397573</v>
      </c>
      <c r="D19" s="5">
        <v>45369.058435329862</v>
      </c>
      <c r="E19" s="6">
        <f>_xlfn.DAYS(Tabelle1[[#This Row],[End-Zeitfenster]],Tabelle1[[#This Row],[Start-Zeitfenster]])</f>
        <v>97</v>
      </c>
      <c r="F19">
        <v>20</v>
      </c>
      <c r="G19">
        <v>36</v>
      </c>
      <c r="H19">
        <v>6</v>
      </c>
      <c r="I19">
        <v>1.468</v>
      </c>
      <c r="J19">
        <v>1.377</v>
      </c>
      <c r="K19">
        <v>0.58099999999999996</v>
      </c>
      <c r="L19">
        <v>4.0629999999999997</v>
      </c>
      <c r="M19">
        <v>1.8</v>
      </c>
      <c r="N19">
        <v>16</v>
      </c>
      <c r="O19">
        <v>80</v>
      </c>
      <c r="P19">
        <v>1</v>
      </c>
      <c r="Q19">
        <v>30</v>
      </c>
      <c r="R19">
        <v>83.332999999999998</v>
      </c>
      <c r="S19">
        <v>2</v>
      </c>
      <c r="T19" t="b">
        <v>0</v>
      </c>
      <c r="U19">
        <v>11</v>
      </c>
      <c r="V19">
        <v>36.5</v>
      </c>
      <c r="W19">
        <v>25.5</v>
      </c>
      <c r="X19">
        <v>74.75</v>
      </c>
      <c r="Y19">
        <v>1</v>
      </c>
      <c r="Z19">
        <v>7</v>
      </c>
    </row>
    <row r="20" spans="1:26">
      <c r="A20">
        <v>3</v>
      </c>
      <c r="B20" s="2">
        <v>45240.874950086807</v>
      </c>
      <c r="C20" s="5">
        <v>45144.737336154511</v>
      </c>
      <c r="D20" s="5">
        <v>45272.920821397573</v>
      </c>
      <c r="E20" s="6">
        <f>_xlfn.DAYS(Tabelle1[[#This Row],[End-Zeitfenster]],Tabelle1[[#This Row],[Start-Zeitfenster]])</f>
        <v>128</v>
      </c>
      <c r="F20">
        <v>8</v>
      </c>
      <c r="G20">
        <v>20</v>
      </c>
      <c r="H20">
        <v>20</v>
      </c>
      <c r="I20">
        <v>0.97799999999999998</v>
      </c>
      <c r="J20">
        <v>1.0169999999999999</v>
      </c>
      <c r="K20">
        <v>1.468</v>
      </c>
      <c r="L20">
        <v>2.2570000000000001</v>
      </c>
      <c r="M20">
        <v>1</v>
      </c>
      <c r="N20">
        <v>12</v>
      </c>
      <c r="O20">
        <v>150</v>
      </c>
      <c r="P20">
        <v>3</v>
      </c>
      <c r="Q20">
        <v>0</v>
      </c>
      <c r="R20">
        <v>0</v>
      </c>
      <c r="S20">
        <v>1</v>
      </c>
      <c r="T20" t="b">
        <v>0</v>
      </c>
      <c r="U20">
        <v>11</v>
      </c>
      <c r="V20">
        <v>36.5</v>
      </c>
      <c r="W20">
        <v>25.5</v>
      </c>
      <c r="X20">
        <v>74.75</v>
      </c>
      <c r="Y20">
        <v>1</v>
      </c>
      <c r="Z20">
        <v>8</v>
      </c>
    </row>
    <row r="21" spans="1:26">
      <c r="A21">
        <v>3</v>
      </c>
      <c r="B21" s="2">
        <v>45945.884118923612</v>
      </c>
      <c r="C21" s="5">
        <v>45913.838247612854</v>
      </c>
      <c r="D21" s="5">
        <v>45977.929990234377</v>
      </c>
      <c r="E21" s="6">
        <f>_xlfn.DAYS(Tabelle1[[#This Row],[End-Zeitfenster]],Tabelle1[[#This Row],[Start-Zeitfenster]])</f>
        <v>64</v>
      </c>
      <c r="F21">
        <v>12</v>
      </c>
      <c r="G21">
        <v>20</v>
      </c>
      <c r="H21">
        <v>10</v>
      </c>
      <c r="I21">
        <v>2.226</v>
      </c>
      <c r="J21">
        <v>3.8759999999999999</v>
      </c>
      <c r="K21">
        <v>1.4330000000000001</v>
      </c>
      <c r="L21">
        <v>2.2570000000000001</v>
      </c>
      <c r="M21">
        <v>1</v>
      </c>
      <c r="N21">
        <v>8</v>
      </c>
      <c r="O21">
        <v>66.667000000000002</v>
      </c>
      <c r="P21">
        <v>1</v>
      </c>
      <c r="Q21">
        <v>10</v>
      </c>
      <c r="R21">
        <v>50</v>
      </c>
      <c r="S21">
        <v>1</v>
      </c>
      <c r="T21" t="b">
        <v>0</v>
      </c>
      <c r="U21">
        <v>11</v>
      </c>
      <c r="V21">
        <v>36.5</v>
      </c>
      <c r="W21">
        <v>25.5</v>
      </c>
      <c r="X21">
        <v>74.75</v>
      </c>
      <c r="Y21">
        <v>1</v>
      </c>
      <c r="Z21">
        <v>9</v>
      </c>
    </row>
    <row r="22" spans="1:26">
      <c r="A22">
        <v>7</v>
      </c>
      <c r="B22" s="2">
        <v>45208.829078776042</v>
      </c>
      <c r="C22" s="5">
        <v>45144.737336154511</v>
      </c>
      <c r="D22" s="5">
        <v>45272.920821397573</v>
      </c>
      <c r="E22" s="6">
        <f>_xlfn.DAYS(Tabelle1[[#This Row],[End-Zeitfenster]],Tabelle1[[#This Row],[Start-Zeitfenster]])</f>
        <v>128</v>
      </c>
      <c r="F22">
        <v>7</v>
      </c>
      <c r="G22">
        <v>43</v>
      </c>
      <c r="H22">
        <v>11</v>
      </c>
      <c r="I22">
        <v>0.85599999999999998</v>
      </c>
      <c r="J22">
        <v>1.0589999999999999</v>
      </c>
      <c r="K22">
        <v>0.80800000000000005</v>
      </c>
      <c r="L22">
        <v>7.7480000000000002</v>
      </c>
      <c r="M22">
        <v>3.44</v>
      </c>
      <c r="N22">
        <v>36</v>
      </c>
      <c r="O22">
        <v>514.28599999999994</v>
      </c>
      <c r="P22">
        <v>2</v>
      </c>
      <c r="Q22">
        <v>32</v>
      </c>
      <c r="R22">
        <v>74.418999999999997</v>
      </c>
      <c r="S22">
        <v>2</v>
      </c>
      <c r="T22" t="b">
        <v>0</v>
      </c>
      <c r="U22">
        <v>7.75</v>
      </c>
      <c r="V22">
        <v>25.5</v>
      </c>
      <c r="W22">
        <v>17.75</v>
      </c>
      <c r="X22">
        <v>52.125</v>
      </c>
      <c r="Y22">
        <v>1</v>
      </c>
      <c r="Z22">
        <v>1</v>
      </c>
    </row>
    <row r="23" spans="1:26">
      <c r="A23">
        <v>7</v>
      </c>
      <c r="B23" s="2">
        <v>45304.966692708331</v>
      </c>
      <c r="C23" s="5">
        <v>45272.920821397573</v>
      </c>
      <c r="D23" s="5">
        <v>45369.058435329862</v>
      </c>
      <c r="E23" s="6">
        <f>_xlfn.DAYS(Tabelle1[[#This Row],[End-Zeitfenster]],Tabelle1[[#This Row],[Start-Zeitfenster]])</f>
        <v>97</v>
      </c>
      <c r="F23">
        <v>11</v>
      </c>
      <c r="G23">
        <v>36</v>
      </c>
      <c r="H23">
        <v>6</v>
      </c>
      <c r="I23">
        <v>0.80800000000000005</v>
      </c>
      <c r="J23">
        <v>1.377</v>
      </c>
      <c r="K23">
        <v>0.58099999999999996</v>
      </c>
      <c r="L23">
        <v>6.4859999999999998</v>
      </c>
      <c r="M23">
        <v>2.88</v>
      </c>
      <c r="N23">
        <v>25</v>
      </c>
      <c r="O23">
        <v>227.273</v>
      </c>
      <c r="P23">
        <v>1</v>
      </c>
      <c r="Q23">
        <v>30</v>
      </c>
      <c r="R23">
        <v>83.332999999999998</v>
      </c>
      <c r="S23">
        <v>2</v>
      </c>
      <c r="T23" t="b">
        <v>0</v>
      </c>
      <c r="U23">
        <v>7.75</v>
      </c>
      <c r="V23">
        <v>25.5</v>
      </c>
      <c r="W23">
        <v>17.75</v>
      </c>
      <c r="X23">
        <v>52.125</v>
      </c>
      <c r="Y23">
        <v>1</v>
      </c>
      <c r="Z23">
        <v>2</v>
      </c>
    </row>
    <row r="24" spans="1:26">
      <c r="A24">
        <v>7</v>
      </c>
      <c r="B24" s="2">
        <v>45753.608891059033</v>
      </c>
      <c r="C24" s="5">
        <v>45721.563019748261</v>
      </c>
      <c r="D24" s="5">
        <v>45817.700633680557</v>
      </c>
      <c r="E24" s="6">
        <f>_xlfn.DAYS(Tabelle1[[#This Row],[End-Zeitfenster]],Tabelle1[[#This Row],[Start-Zeitfenster]])</f>
        <v>96</v>
      </c>
      <c r="F24">
        <v>3</v>
      </c>
      <c r="G24">
        <v>36</v>
      </c>
      <c r="H24">
        <v>7</v>
      </c>
      <c r="I24">
        <v>0.58399999999999996</v>
      </c>
      <c r="J24">
        <v>1.639</v>
      </c>
      <c r="K24">
        <v>1.014</v>
      </c>
      <c r="L24">
        <v>6.4859999999999998</v>
      </c>
      <c r="M24">
        <v>2.88</v>
      </c>
      <c r="N24">
        <v>33</v>
      </c>
      <c r="O24">
        <v>1100</v>
      </c>
      <c r="P24">
        <v>1</v>
      </c>
      <c r="Q24">
        <v>29</v>
      </c>
      <c r="R24">
        <v>80.555999999999997</v>
      </c>
      <c r="S24">
        <v>2</v>
      </c>
      <c r="T24" t="b">
        <v>0</v>
      </c>
      <c r="U24">
        <v>7.75</v>
      </c>
      <c r="V24">
        <v>25.5</v>
      </c>
      <c r="W24">
        <v>17.75</v>
      </c>
      <c r="X24">
        <v>52.125</v>
      </c>
      <c r="Y24">
        <v>1</v>
      </c>
      <c r="Z24">
        <v>3</v>
      </c>
    </row>
    <row r="25" spans="1:26">
      <c r="A25">
        <v>7</v>
      </c>
      <c r="B25" s="2">
        <v>45657.471277126737</v>
      </c>
      <c r="C25" s="5">
        <v>45593.379534505213</v>
      </c>
      <c r="D25" s="5">
        <v>45721.563019748261</v>
      </c>
      <c r="E25" s="6">
        <f>_xlfn.DAYS(Tabelle1[[#This Row],[End-Zeitfenster]],Tabelle1[[#This Row],[Start-Zeitfenster]])</f>
        <v>128</v>
      </c>
      <c r="F25">
        <v>5</v>
      </c>
      <c r="G25">
        <v>35</v>
      </c>
      <c r="H25">
        <v>3</v>
      </c>
      <c r="I25">
        <v>0.63900000000000001</v>
      </c>
      <c r="J25">
        <v>0.94899999999999995</v>
      </c>
      <c r="K25">
        <v>0.58399999999999996</v>
      </c>
      <c r="L25">
        <v>6.306</v>
      </c>
      <c r="M25">
        <v>2.8</v>
      </c>
      <c r="N25">
        <v>30</v>
      </c>
      <c r="O25">
        <v>600</v>
      </c>
      <c r="P25">
        <v>2</v>
      </c>
      <c r="Q25">
        <v>32</v>
      </c>
      <c r="R25">
        <v>91.429000000000002</v>
      </c>
      <c r="S25">
        <v>2</v>
      </c>
      <c r="T25" t="b">
        <v>0</v>
      </c>
      <c r="U25">
        <v>7.75</v>
      </c>
      <c r="V25">
        <v>25.5</v>
      </c>
      <c r="W25">
        <v>17.75</v>
      </c>
      <c r="X25">
        <v>52.125</v>
      </c>
      <c r="Y25">
        <v>1</v>
      </c>
      <c r="Z25">
        <v>4</v>
      </c>
    </row>
    <row r="26" spans="1:26">
      <c r="A26">
        <v>7</v>
      </c>
      <c r="B26" s="2">
        <v>45112.691464843752</v>
      </c>
      <c r="C26" s="5">
        <v>45047.574254340281</v>
      </c>
      <c r="D26" s="5">
        <v>45144.737336154511</v>
      </c>
      <c r="E26" s="6">
        <f>_xlfn.DAYS(Tabelle1[[#This Row],[End-Zeitfenster]],Tabelle1[[#This Row],[Start-Zeitfenster]])</f>
        <v>97</v>
      </c>
      <c r="F26">
        <v>12</v>
      </c>
      <c r="G26">
        <v>28</v>
      </c>
      <c r="H26">
        <v>7</v>
      </c>
      <c r="I26">
        <v>1.964</v>
      </c>
      <c r="J26">
        <v>2.5179999999999998</v>
      </c>
      <c r="K26">
        <v>0.85599999999999998</v>
      </c>
      <c r="L26">
        <v>5.0449999999999999</v>
      </c>
      <c r="M26">
        <v>2.2400000000000002</v>
      </c>
      <c r="N26">
        <v>16</v>
      </c>
      <c r="O26">
        <v>133.333</v>
      </c>
      <c r="P26">
        <v>2</v>
      </c>
      <c r="Q26">
        <v>21</v>
      </c>
      <c r="R26">
        <v>75</v>
      </c>
      <c r="S26">
        <v>1</v>
      </c>
      <c r="T26" t="b">
        <v>0</v>
      </c>
      <c r="U26">
        <v>7.75</v>
      </c>
      <c r="V26">
        <v>25.5</v>
      </c>
      <c r="W26">
        <v>17.75</v>
      </c>
      <c r="X26">
        <v>52.125</v>
      </c>
      <c r="Y26">
        <v>1</v>
      </c>
      <c r="Z26">
        <v>5</v>
      </c>
    </row>
    <row r="27" spans="1:26">
      <c r="A27">
        <v>7</v>
      </c>
      <c r="B27" s="2">
        <v>45433.150177951393</v>
      </c>
      <c r="C27" s="5">
        <v>45369.058435329862</v>
      </c>
      <c r="D27" s="5">
        <v>45529.287791883682</v>
      </c>
      <c r="E27" s="6">
        <f>_xlfn.DAYS(Tabelle1[[#This Row],[End-Zeitfenster]],Tabelle1[[#This Row],[Start-Zeitfenster]])</f>
        <v>160</v>
      </c>
      <c r="F27">
        <v>6</v>
      </c>
      <c r="G27">
        <v>27</v>
      </c>
      <c r="H27">
        <v>11</v>
      </c>
      <c r="I27">
        <v>0.58099999999999996</v>
      </c>
      <c r="J27">
        <v>0.89600000000000002</v>
      </c>
      <c r="K27">
        <v>1.0049999999999999</v>
      </c>
      <c r="L27">
        <v>4.8650000000000002</v>
      </c>
      <c r="M27">
        <v>2.16</v>
      </c>
      <c r="N27">
        <v>21</v>
      </c>
      <c r="O27">
        <v>350</v>
      </c>
      <c r="P27">
        <v>2</v>
      </c>
      <c r="Q27">
        <v>16</v>
      </c>
      <c r="R27">
        <v>59.259</v>
      </c>
      <c r="S27">
        <v>3</v>
      </c>
      <c r="T27" t="b">
        <v>0</v>
      </c>
      <c r="U27">
        <v>7.75</v>
      </c>
      <c r="V27">
        <v>25.5</v>
      </c>
      <c r="W27">
        <v>17.75</v>
      </c>
      <c r="X27">
        <v>52.125</v>
      </c>
      <c r="Y27">
        <v>1</v>
      </c>
      <c r="Z27">
        <v>6</v>
      </c>
    </row>
    <row r="28" spans="1:26">
      <c r="A28">
        <v>7</v>
      </c>
      <c r="B28" s="2">
        <v>45561.333663194448</v>
      </c>
      <c r="C28" s="5">
        <v>45529.287791883682</v>
      </c>
      <c r="D28" s="5">
        <v>45593.379534505213</v>
      </c>
      <c r="E28" s="6">
        <f>_xlfn.DAYS(Tabelle1[[#This Row],[End-Zeitfenster]],Tabelle1[[#This Row],[Start-Zeitfenster]])</f>
        <v>64</v>
      </c>
      <c r="F28">
        <v>11</v>
      </c>
      <c r="G28">
        <v>16</v>
      </c>
      <c r="H28">
        <v>5</v>
      </c>
      <c r="I28">
        <v>1.0049999999999999</v>
      </c>
      <c r="J28">
        <v>1.4019999999999999</v>
      </c>
      <c r="K28">
        <v>0.63900000000000001</v>
      </c>
      <c r="L28">
        <v>2.883</v>
      </c>
      <c r="M28">
        <v>1.28</v>
      </c>
      <c r="N28">
        <v>5</v>
      </c>
      <c r="O28">
        <v>45.454999999999998</v>
      </c>
      <c r="P28">
        <v>1</v>
      </c>
      <c r="Q28">
        <v>11</v>
      </c>
      <c r="R28">
        <v>68.75</v>
      </c>
      <c r="S28">
        <v>1</v>
      </c>
      <c r="T28" t="b">
        <v>0</v>
      </c>
      <c r="U28">
        <v>7.75</v>
      </c>
      <c r="V28">
        <v>25.5</v>
      </c>
      <c r="W28">
        <v>17.75</v>
      </c>
      <c r="X28">
        <v>52.125</v>
      </c>
      <c r="Y28">
        <v>1</v>
      </c>
      <c r="Z28">
        <v>7</v>
      </c>
    </row>
    <row r="29" spans="1:26">
      <c r="A29">
        <v>7</v>
      </c>
      <c r="B29" s="2">
        <v>45945.884118923612</v>
      </c>
      <c r="C29" s="5">
        <v>45913.838247612854</v>
      </c>
      <c r="D29" s="5">
        <v>46042.021732855901</v>
      </c>
      <c r="E29" s="6">
        <f>_xlfn.DAYS(Tabelle1[[#This Row],[End-Zeitfenster]],Tabelle1[[#This Row],[Start-Zeitfenster]])</f>
        <v>129</v>
      </c>
      <c r="F29">
        <v>8</v>
      </c>
      <c r="G29">
        <v>10</v>
      </c>
      <c r="H29">
        <v>1</v>
      </c>
      <c r="I29">
        <v>1.484</v>
      </c>
      <c r="J29">
        <v>1.9379999999999999</v>
      </c>
      <c r="K29">
        <v>4.5449999999999999</v>
      </c>
      <c r="L29">
        <v>1.802</v>
      </c>
      <c r="M29">
        <v>0.8</v>
      </c>
      <c r="N29">
        <v>2</v>
      </c>
      <c r="O29">
        <v>25</v>
      </c>
      <c r="P29">
        <v>1</v>
      </c>
      <c r="Q29">
        <v>9</v>
      </c>
      <c r="R29">
        <v>90</v>
      </c>
      <c r="S29">
        <v>3</v>
      </c>
      <c r="T29" t="b">
        <v>0</v>
      </c>
      <c r="U29">
        <v>7.75</v>
      </c>
      <c r="V29">
        <v>25.5</v>
      </c>
      <c r="W29">
        <v>17.75</v>
      </c>
      <c r="X29">
        <v>52.125</v>
      </c>
      <c r="Y29">
        <v>1</v>
      </c>
      <c r="Z29">
        <v>8</v>
      </c>
    </row>
    <row r="30" spans="1:26">
      <c r="A30">
        <v>7</v>
      </c>
      <c r="B30" s="2">
        <v>45849.746504991323</v>
      </c>
      <c r="C30" s="5">
        <v>45817.700633680557</v>
      </c>
      <c r="D30" s="5">
        <v>45913.838247612854</v>
      </c>
      <c r="E30" s="6">
        <f>_xlfn.DAYS(Tabelle1[[#This Row],[End-Zeitfenster]],Tabelle1[[#This Row],[Start-Zeitfenster]])</f>
        <v>96</v>
      </c>
      <c r="F30">
        <v>7</v>
      </c>
      <c r="G30">
        <v>9</v>
      </c>
      <c r="H30">
        <v>8</v>
      </c>
      <c r="I30">
        <v>1.014</v>
      </c>
      <c r="J30">
        <v>1.026</v>
      </c>
      <c r="K30">
        <v>1.484</v>
      </c>
      <c r="L30">
        <v>1.6220000000000001</v>
      </c>
      <c r="M30">
        <v>0.72</v>
      </c>
      <c r="N30">
        <v>2</v>
      </c>
      <c r="O30">
        <v>28.571000000000002</v>
      </c>
      <c r="P30">
        <v>1</v>
      </c>
      <c r="Q30">
        <v>1</v>
      </c>
      <c r="R30">
        <v>11.111000000000001</v>
      </c>
      <c r="S30">
        <v>2</v>
      </c>
      <c r="T30" t="b">
        <v>0</v>
      </c>
      <c r="U30">
        <v>7.75</v>
      </c>
      <c r="V30">
        <v>25.5</v>
      </c>
      <c r="W30">
        <v>17.75</v>
      </c>
      <c r="X30">
        <v>52.125</v>
      </c>
      <c r="Y30">
        <v>1</v>
      </c>
      <c r="Z30">
        <v>9</v>
      </c>
    </row>
    <row r="31" spans="1:26">
      <c r="A31">
        <v>9</v>
      </c>
      <c r="B31" s="2">
        <v>45080.645593532987</v>
      </c>
      <c r="C31" s="5">
        <v>45047.574254340281</v>
      </c>
      <c r="D31" s="5">
        <v>45144.737336154511</v>
      </c>
      <c r="E31" s="6">
        <f>_xlfn.DAYS(Tabelle1[[#This Row],[End-Zeitfenster]],Tabelle1[[#This Row],[Start-Zeitfenster]])</f>
        <v>97</v>
      </c>
      <c r="F31">
        <v>8</v>
      </c>
      <c r="G31">
        <v>43</v>
      </c>
      <c r="H31">
        <v>17</v>
      </c>
      <c r="I31">
        <v>1.3089999999999999</v>
      </c>
      <c r="J31">
        <v>2.5840000000000001</v>
      </c>
      <c r="K31">
        <v>2.0779999999999998</v>
      </c>
      <c r="L31">
        <v>7.8040000000000003</v>
      </c>
      <c r="M31">
        <v>2.5289999999999999</v>
      </c>
      <c r="N31">
        <v>35</v>
      </c>
      <c r="O31">
        <v>437.5</v>
      </c>
      <c r="P31">
        <v>1</v>
      </c>
      <c r="Q31">
        <v>26</v>
      </c>
      <c r="R31">
        <v>60.465000000000003</v>
      </c>
      <c r="S31">
        <v>2</v>
      </c>
      <c r="T31" t="b">
        <v>0</v>
      </c>
      <c r="U31">
        <v>7</v>
      </c>
      <c r="V31">
        <v>27</v>
      </c>
      <c r="W31">
        <v>20</v>
      </c>
      <c r="X31">
        <v>57</v>
      </c>
      <c r="Y31">
        <v>1</v>
      </c>
      <c r="Z31">
        <v>1</v>
      </c>
    </row>
    <row r="32" spans="1:26">
      <c r="A32">
        <v>9</v>
      </c>
      <c r="B32" s="2">
        <v>45176.783207465283</v>
      </c>
      <c r="C32" s="5">
        <v>45144.737336154511</v>
      </c>
      <c r="D32" s="5">
        <v>45272.920821397573</v>
      </c>
      <c r="E32" s="6">
        <f>_xlfn.DAYS(Tabelle1[[#This Row],[End-Zeitfenster]],Tabelle1[[#This Row],[Start-Zeitfenster]])</f>
        <v>128</v>
      </c>
      <c r="F32">
        <v>17</v>
      </c>
      <c r="G32">
        <v>38</v>
      </c>
      <c r="H32">
        <v>14</v>
      </c>
      <c r="I32">
        <v>2.0779999999999998</v>
      </c>
      <c r="J32">
        <v>2.5990000000000002</v>
      </c>
      <c r="K32">
        <v>1.028</v>
      </c>
      <c r="L32">
        <v>6.8970000000000002</v>
      </c>
      <c r="M32">
        <v>2.2349999999999999</v>
      </c>
      <c r="N32">
        <v>21</v>
      </c>
      <c r="O32">
        <v>123.529</v>
      </c>
      <c r="P32">
        <v>1</v>
      </c>
      <c r="Q32">
        <v>24</v>
      </c>
      <c r="R32">
        <v>63.158000000000001</v>
      </c>
      <c r="S32">
        <v>3</v>
      </c>
      <c r="T32" t="b">
        <v>0</v>
      </c>
      <c r="U32">
        <v>7</v>
      </c>
      <c r="V32">
        <v>27</v>
      </c>
      <c r="W32">
        <v>20</v>
      </c>
      <c r="X32">
        <v>57</v>
      </c>
      <c r="Y32">
        <v>1</v>
      </c>
      <c r="Z32">
        <v>2</v>
      </c>
    </row>
    <row r="33" spans="1:26">
      <c r="A33">
        <v>9</v>
      </c>
      <c r="B33" s="2">
        <v>45689.517148437502</v>
      </c>
      <c r="C33" s="5">
        <v>45593.379534505213</v>
      </c>
      <c r="D33" s="5">
        <v>45721.563019748261</v>
      </c>
      <c r="E33" s="6">
        <f>_xlfn.DAYS(Tabelle1[[#This Row],[End-Zeitfenster]],Tabelle1[[#This Row],[Start-Zeitfenster]])</f>
        <v>128</v>
      </c>
      <c r="F33">
        <v>5</v>
      </c>
      <c r="G33">
        <v>33</v>
      </c>
      <c r="H33">
        <v>5</v>
      </c>
      <c r="I33">
        <v>0.63900000000000001</v>
      </c>
      <c r="J33">
        <v>1.1819999999999999</v>
      </c>
      <c r="K33">
        <v>0.97299999999999998</v>
      </c>
      <c r="L33">
        <v>5.9889999999999999</v>
      </c>
      <c r="M33">
        <v>1.9410000000000001</v>
      </c>
      <c r="N33">
        <v>28</v>
      </c>
      <c r="O33">
        <v>560</v>
      </c>
      <c r="P33">
        <v>3</v>
      </c>
      <c r="Q33">
        <v>28</v>
      </c>
      <c r="R33">
        <v>84.847999999999999</v>
      </c>
      <c r="S33">
        <v>1</v>
      </c>
      <c r="T33" t="b">
        <v>0</v>
      </c>
      <c r="U33">
        <v>7</v>
      </c>
      <c r="V33">
        <v>27</v>
      </c>
      <c r="W33">
        <v>20</v>
      </c>
      <c r="X33">
        <v>57</v>
      </c>
      <c r="Y33">
        <v>1</v>
      </c>
      <c r="Z33">
        <v>3</v>
      </c>
    </row>
    <row r="34" spans="1:26">
      <c r="A34">
        <v>9</v>
      </c>
      <c r="B34" s="2">
        <v>45337.012564019104</v>
      </c>
      <c r="C34" s="5">
        <v>45272.920821397573</v>
      </c>
      <c r="D34" s="5">
        <v>45369.058435329862</v>
      </c>
      <c r="E34" s="6">
        <f>_xlfn.DAYS(Tabelle1[[#This Row],[End-Zeitfenster]],Tabelle1[[#This Row],[Start-Zeitfenster]])</f>
        <v>97</v>
      </c>
      <c r="F34">
        <v>14</v>
      </c>
      <c r="G34">
        <v>30</v>
      </c>
      <c r="H34">
        <v>24</v>
      </c>
      <c r="I34">
        <v>1.028</v>
      </c>
      <c r="J34">
        <v>1.9019999999999999</v>
      </c>
      <c r="K34">
        <v>2.3260000000000001</v>
      </c>
      <c r="L34">
        <v>5.4450000000000003</v>
      </c>
      <c r="M34">
        <v>1.7649999999999999</v>
      </c>
      <c r="N34">
        <v>16</v>
      </c>
      <c r="O34">
        <v>114.286</v>
      </c>
      <c r="P34">
        <v>2</v>
      </c>
      <c r="Q34">
        <v>6</v>
      </c>
      <c r="R34">
        <v>20</v>
      </c>
      <c r="S34">
        <v>1</v>
      </c>
      <c r="T34" t="b">
        <v>0</v>
      </c>
      <c r="U34">
        <v>7</v>
      </c>
      <c r="V34">
        <v>27</v>
      </c>
      <c r="W34">
        <v>20</v>
      </c>
      <c r="X34">
        <v>57</v>
      </c>
      <c r="Y34">
        <v>1</v>
      </c>
      <c r="Z34">
        <v>4</v>
      </c>
    </row>
    <row r="35" spans="1:26">
      <c r="A35">
        <v>9</v>
      </c>
      <c r="B35" s="2">
        <v>45401.104306640627</v>
      </c>
      <c r="C35" s="5">
        <v>45369.058435329862</v>
      </c>
      <c r="D35" s="5">
        <v>45529.287791883682</v>
      </c>
      <c r="E35" s="6">
        <f>_xlfn.DAYS(Tabelle1[[#This Row],[End-Zeitfenster]],Tabelle1[[#This Row],[Start-Zeitfenster]])</f>
        <v>160</v>
      </c>
      <c r="F35">
        <v>24</v>
      </c>
      <c r="G35">
        <v>27</v>
      </c>
      <c r="H35">
        <v>2</v>
      </c>
      <c r="I35">
        <v>2.3260000000000001</v>
      </c>
      <c r="J35">
        <v>1.405</v>
      </c>
      <c r="K35">
        <v>0.183</v>
      </c>
      <c r="L35">
        <v>4.9000000000000004</v>
      </c>
      <c r="M35">
        <v>1.5880000000000001</v>
      </c>
      <c r="N35">
        <v>3</v>
      </c>
      <c r="O35">
        <v>12.5</v>
      </c>
      <c r="P35">
        <v>1</v>
      </c>
      <c r="Q35">
        <v>25</v>
      </c>
      <c r="R35">
        <v>92.593000000000004</v>
      </c>
      <c r="S35">
        <v>4</v>
      </c>
      <c r="T35" t="b">
        <v>0</v>
      </c>
      <c r="U35">
        <v>7</v>
      </c>
      <c r="V35">
        <v>27</v>
      </c>
      <c r="W35">
        <v>20</v>
      </c>
      <c r="X35">
        <v>57</v>
      </c>
      <c r="Y35">
        <v>1</v>
      </c>
      <c r="Z35">
        <v>5</v>
      </c>
    </row>
    <row r="36" spans="1:26">
      <c r="A36">
        <v>9</v>
      </c>
      <c r="B36" s="2">
        <v>45753.608891059033</v>
      </c>
      <c r="C36" s="5">
        <v>45721.563019748261</v>
      </c>
      <c r="D36" s="5">
        <v>45849.746504991323</v>
      </c>
      <c r="E36" s="6">
        <f>_xlfn.DAYS(Tabelle1[[#This Row],[End-Zeitfenster]],Tabelle1[[#This Row],[Start-Zeitfenster]])</f>
        <v>128</v>
      </c>
      <c r="F36">
        <v>5</v>
      </c>
      <c r="G36">
        <v>20</v>
      </c>
      <c r="H36">
        <v>5</v>
      </c>
      <c r="I36">
        <v>0.97299999999999998</v>
      </c>
      <c r="J36">
        <v>0.91100000000000003</v>
      </c>
      <c r="K36">
        <v>0.56999999999999995</v>
      </c>
      <c r="L36">
        <v>3.63</v>
      </c>
      <c r="M36">
        <v>1.1759999999999999</v>
      </c>
      <c r="N36">
        <v>15</v>
      </c>
      <c r="O36">
        <v>300</v>
      </c>
      <c r="P36">
        <v>1</v>
      </c>
      <c r="Q36">
        <v>15</v>
      </c>
      <c r="R36">
        <v>75</v>
      </c>
      <c r="S36">
        <v>3</v>
      </c>
      <c r="T36" t="b">
        <v>0</v>
      </c>
      <c r="U36">
        <v>7</v>
      </c>
      <c r="V36">
        <v>27</v>
      </c>
      <c r="W36">
        <v>20</v>
      </c>
      <c r="X36">
        <v>57</v>
      </c>
      <c r="Y36">
        <v>1</v>
      </c>
      <c r="Z36">
        <v>6</v>
      </c>
    </row>
    <row r="37" spans="1:26">
      <c r="A37">
        <v>9</v>
      </c>
      <c r="B37" s="2">
        <v>45881.792376302081</v>
      </c>
      <c r="C37" s="5">
        <v>45849.746504991323</v>
      </c>
      <c r="D37" s="5">
        <v>45913.838247612854</v>
      </c>
      <c r="E37" s="6">
        <f>_xlfn.DAYS(Tabelle1[[#This Row],[End-Zeitfenster]],Tabelle1[[#This Row],[Start-Zeitfenster]])</f>
        <v>64</v>
      </c>
      <c r="F37">
        <v>5</v>
      </c>
      <c r="G37">
        <v>17</v>
      </c>
      <c r="H37">
        <v>6</v>
      </c>
      <c r="I37">
        <v>0.56999999999999995</v>
      </c>
      <c r="J37">
        <v>1.4850000000000001</v>
      </c>
      <c r="K37">
        <v>1.113</v>
      </c>
      <c r="L37">
        <v>3.085</v>
      </c>
      <c r="M37">
        <v>1</v>
      </c>
      <c r="N37">
        <v>12</v>
      </c>
      <c r="O37">
        <v>240</v>
      </c>
      <c r="P37">
        <v>1</v>
      </c>
      <c r="Q37">
        <v>11</v>
      </c>
      <c r="R37">
        <v>64.706000000000003</v>
      </c>
      <c r="S37">
        <v>1</v>
      </c>
      <c r="T37" t="b">
        <v>0</v>
      </c>
      <c r="U37">
        <v>7</v>
      </c>
      <c r="V37">
        <v>27</v>
      </c>
      <c r="W37">
        <v>20</v>
      </c>
      <c r="X37">
        <v>57</v>
      </c>
      <c r="Y37">
        <v>1</v>
      </c>
      <c r="Z37">
        <v>7</v>
      </c>
    </row>
    <row r="38" spans="1:26">
      <c r="A38">
        <v>9</v>
      </c>
      <c r="B38" s="2">
        <v>45977.929990234377</v>
      </c>
      <c r="C38" s="5">
        <v>45945.884118923612</v>
      </c>
      <c r="D38" s="5">
        <v>46009.975861545143</v>
      </c>
      <c r="E38" s="6">
        <f>_xlfn.DAYS(Tabelle1[[#This Row],[End-Zeitfenster]],Tabelle1[[#This Row],[Start-Zeitfenster]])</f>
        <v>64</v>
      </c>
      <c r="F38">
        <v>6</v>
      </c>
      <c r="G38">
        <v>9</v>
      </c>
      <c r="H38">
        <v>7</v>
      </c>
      <c r="I38">
        <v>1.163</v>
      </c>
      <c r="J38">
        <v>1.2889999999999999</v>
      </c>
      <c r="K38">
        <v>1.643</v>
      </c>
      <c r="L38">
        <v>1.633</v>
      </c>
      <c r="M38">
        <v>0.52900000000000003</v>
      </c>
      <c r="N38">
        <v>3</v>
      </c>
      <c r="O38">
        <v>50</v>
      </c>
      <c r="P38">
        <v>1</v>
      </c>
      <c r="Q38">
        <v>2</v>
      </c>
      <c r="R38">
        <v>22.222000000000001</v>
      </c>
      <c r="S38">
        <v>1</v>
      </c>
      <c r="T38" t="b">
        <v>0</v>
      </c>
      <c r="U38">
        <v>7</v>
      </c>
      <c r="V38">
        <v>27</v>
      </c>
      <c r="W38">
        <v>20</v>
      </c>
      <c r="X38">
        <v>57</v>
      </c>
      <c r="Y38">
        <v>1</v>
      </c>
      <c r="Z38">
        <v>8</v>
      </c>
    </row>
    <row r="39" spans="1:26">
      <c r="A39">
        <v>9</v>
      </c>
      <c r="B39" s="2">
        <v>45561.333663194448</v>
      </c>
      <c r="C39" s="5">
        <v>45529.287791883682</v>
      </c>
      <c r="D39" s="5">
        <v>45593.379534505213</v>
      </c>
      <c r="E39" s="6">
        <f>_xlfn.DAYS(Tabelle1[[#This Row],[End-Zeitfenster]],Tabelle1[[#This Row],[Start-Zeitfenster]])</f>
        <v>64</v>
      </c>
      <c r="F39">
        <v>2</v>
      </c>
      <c r="G39">
        <v>7</v>
      </c>
      <c r="H39">
        <v>5</v>
      </c>
      <c r="I39">
        <v>0.183</v>
      </c>
      <c r="J39">
        <v>0.61299999999999999</v>
      </c>
      <c r="K39">
        <v>0.63900000000000001</v>
      </c>
      <c r="L39">
        <v>1.27</v>
      </c>
      <c r="M39">
        <v>0.41199999999999998</v>
      </c>
      <c r="N39">
        <v>5</v>
      </c>
      <c r="O39">
        <v>250</v>
      </c>
      <c r="P39">
        <v>1</v>
      </c>
      <c r="Q39">
        <v>2</v>
      </c>
      <c r="R39">
        <v>28.571000000000002</v>
      </c>
      <c r="S39">
        <v>1</v>
      </c>
      <c r="T39" t="b">
        <v>0</v>
      </c>
      <c r="U39">
        <v>7</v>
      </c>
      <c r="V39">
        <v>27</v>
      </c>
      <c r="W39">
        <v>20</v>
      </c>
      <c r="X39">
        <v>57</v>
      </c>
      <c r="Y39">
        <v>1</v>
      </c>
      <c r="Z39">
        <v>9</v>
      </c>
    </row>
    <row r="40" spans="1:26">
      <c r="A40">
        <v>10</v>
      </c>
      <c r="B40" s="2">
        <v>45208.829078776042</v>
      </c>
      <c r="C40" s="5">
        <v>45176.783207465283</v>
      </c>
      <c r="D40" s="5">
        <v>45272.920821397573</v>
      </c>
      <c r="E40" s="6">
        <f>_xlfn.DAYS(Tabelle1[[#This Row],[End-Zeitfenster]],Tabelle1[[#This Row],[Start-Zeitfenster]])</f>
        <v>96</v>
      </c>
      <c r="F40">
        <v>6</v>
      </c>
      <c r="G40">
        <v>98</v>
      </c>
      <c r="H40">
        <v>12</v>
      </c>
      <c r="I40">
        <v>0.41</v>
      </c>
      <c r="J40">
        <v>2.4140000000000001</v>
      </c>
      <c r="K40">
        <v>0.88100000000000001</v>
      </c>
      <c r="L40">
        <v>18.882000000000001</v>
      </c>
      <c r="M40">
        <v>8.1669999999999998</v>
      </c>
      <c r="N40">
        <v>92</v>
      </c>
      <c r="O40">
        <v>1533.3330000000001</v>
      </c>
      <c r="P40">
        <v>1</v>
      </c>
      <c r="Q40">
        <v>86</v>
      </c>
      <c r="R40">
        <v>87.754999999999995</v>
      </c>
      <c r="S40">
        <v>2</v>
      </c>
      <c r="T40" t="b">
        <v>1</v>
      </c>
      <c r="U40">
        <v>5.25</v>
      </c>
      <c r="V40">
        <v>16</v>
      </c>
      <c r="W40">
        <v>10.75</v>
      </c>
      <c r="X40">
        <v>32.125</v>
      </c>
      <c r="Y40">
        <v>1</v>
      </c>
      <c r="Z40">
        <v>1</v>
      </c>
    </row>
    <row r="41" spans="1:26">
      <c r="A41">
        <v>10</v>
      </c>
      <c r="B41" s="2">
        <v>45401.104306640627</v>
      </c>
      <c r="C41" s="5">
        <v>45337.012564019104</v>
      </c>
      <c r="D41" s="5">
        <v>45465.196049262151</v>
      </c>
      <c r="E41" s="6">
        <f>_xlfn.DAYS(Tabelle1[[#This Row],[End-Zeitfenster]],Tabelle1[[#This Row],[Start-Zeitfenster]])</f>
        <v>128</v>
      </c>
      <c r="F41">
        <v>5</v>
      </c>
      <c r="G41">
        <v>65</v>
      </c>
      <c r="H41">
        <v>12</v>
      </c>
      <c r="I41">
        <v>0.317</v>
      </c>
      <c r="J41">
        <v>3.3820000000000001</v>
      </c>
      <c r="K41">
        <v>0.79</v>
      </c>
      <c r="L41">
        <v>12.523999999999999</v>
      </c>
      <c r="M41">
        <v>5.4169999999999998</v>
      </c>
      <c r="N41">
        <v>60</v>
      </c>
      <c r="O41">
        <v>1200</v>
      </c>
      <c r="P41">
        <v>2</v>
      </c>
      <c r="Q41">
        <v>53</v>
      </c>
      <c r="R41">
        <v>81.537999999999997</v>
      </c>
      <c r="S41">
        <v>2</v>
      </c>
      <c r="T41" t="b">
        <v>1</v>
      </c>
      <c r="U41">
        <v>5.25</v>
      </c>
      <c r="V41">
        <v>16</v>
      </c>
      <c r="W41">
        <v>10.75</v>
      </c>
      <c r="X41">
        <v>32.125</v>
      </c>
      <c r="Y41">
        <v>2</v>
      </c>
      <c r="Z41">
        <v>2</v>
      </c>
    </row>
    <row r="42" spans="1:26">
      <c r="A42">
        <v>10</v>
      </c>
      <c r="B42" s="2">
        <v>45529.287791883682</v>
      </c>
      <c r="C42" s="5">
        <v>45465.196049262151</v>
      </c>
      <c r="D42" s="5">
        <v>45593.379534505213</v>
      </c>
      <c r="E42" s="6">
        <f>_xlfn.DAYS(Tabelle1[[#This Row],[End-Zeitfenster]],Tabelle1[[#This Row],[Start-Zeitfenster]])</f>
        <v>128</v>
      </c>
      <c r="F42">
        <v>12</v>
      </c>
      <c r="G42">
        <v>19</v>
      </c>
      <c r="H42">
        <v>3</v>
      </c>
      <c r="I42">
        <v>0.79</v>
      </c>
      <c r="J42">
        <v>1.7350000000000001</v>
      </c>
      <c r="K42">
        <v>0.38400000000000001</v>
      </c>
      <c r="L42">
        <v>3.661</v>
      </c>
      <c r="M42">
        <v>1.583</v>
      </c>
      <c r="N42">
        <v>7</v>
      </c>
      <c r="O42">
        <v>58.332999999999998</v>
      </c>
      <c r="P42">
        <v>2</v>
      </c>
      <c r="Q42">
        <v>16</v>
      </c>
      <c r="R42">
        <v>84.210999999999999</v>
      </c>
      <c r="S42">
        <v>2</v>
      </c>
      <c r="T42" t="b">
        <v>0</v>
      </c>
      <c r="U42">
        <v>5.25</v>
      </c>
      <c r="V42">
        <v>16</v>
      </c>
      <c r="W42">
        <v>10.75</v>
      </c>
      <c r="X42">
        <v>32.125</v>
      </c>
      <c r="Y42">
        <v>1</v>
      </c>
      <c r="Z42">
        <v>3</v>
      </c>
    </row>
    <row r="43" spans="1:26">
      <c r="A43">
        <v>10</v>
      </c>
      <c r="B43" s="2">
        <v>45657.471277126737</v>
      </c>
      <c r="C43" s="5">
        <v>45593.379534505213</v>
      </c>
      <c r="D43" s="5">
        <v>45721.563019748261</v>
      </c>
      <c r="E43" s="6">
        <f>_xlfn.DAYS(Tabelle1[[#This Row],[End-Zeitfenster]],Tabelle1[[#This Row],[Start-Zeitfenster]])</f>
        <v>128</v>
      </c>
      <c r="F43">
        <v>3</v>
      </c>
      <c r="G43">
        <v>19</v>
      </c>
      <c r="H43">
        <v>1</v>
      </c>
      <c r="I43">
        <v>0.38400000000000001</v>
      </c>
      <c r="J43">
        <v>0.51500000000000001</v>
      </c>
      <c r="K43">
        <v>0.19500000000000001</v>
      </c>
      <c r="L43">
        <v>3.661</v>
      </c>
      <c r="M43">
        <v>1.583</v>
      </c>
      <c r="N43">
        <v>16</v>
      </c>
      <c r="O43">
        <v>533.33299999999997</v>
      </c>
      <c r="P43">
        <v>2</v>
      </c>
      <c r="Q43">
        <v>18</v>
      </c>
      <c r="R43">
        <v>94.736999999999995</v>
      </c>
      <c r="S43">
        <v>2</v>
      </c>
      <c r="T43" t="b">
        <v>0</v>
      </c>
      <c r="U43">
        <v>5.25</v>
      </c>
      <c r="V43">
        <v>16</v>
      </c>
      <c r="W43">
        <v>10.75</v>
      </c>
      <c r="X43">
        <v>32.125</v>
      </c>
      <c r="Y43">
        <v>1</v>
      </c>
      <c r="Z43">
        <v>4</v>
      </c>
    </row>
    <row r="44" spans="1:26">
      <c r="A44">
        <v>10</v>
      </c>
      <c r="B44" s="2">
        <v>45304.966692708331</v>
      </c>
      <c r="C44" s="5">
        <v>45272.920821397573</v>
      </c>
      <c r="D44" s="5">
        <v>45337.012564019104</v>
      </c>
      <c r="E44" s="6">
        <f>_xlfn.DAYS(Tabelle1[[#This Row],[End-Zeitfenster]],Tabelle1[[#This Row],[Start-Zeitfenster]])</f>
        <v>65</v>
      </c>
      <c r="F44">
        <v>12</v>
      </c>
      <c r="G44">
        <v>16</v>
      </c>
      <c r="H44">
        <v>5</v>
      </c>
      <c r="I44">
        <v>0.88100000000000001</v>
      </c>
      <c r="J44">
        <v>0.61199999999999999</v>
      </c>
      <c r="K44">
        <v>0.317</v>
      </c>
      <c r="L44">
        <v>3.0830000000000002</v>
      </c>
      <c r="M44">
        <v>1.333</v>
      </c>
      <c r="N44">
        <v>4</v>
      </c>
      <c r="O44">
        <v>33.332999999999998</v>
      </c>
      <c r="P44">
        <v>1</v>
      </c>
      <c r="Q44">
        <v>11</v>
      </c>
      <c r="R44">
        <v>68.75</v>
      </c>
      <c r="S44">
        <v>1</v>
      </c>
      <c r="T44" t="b">
        <v>0</v>
      </c>
      <c r="U44">
        <v>5.25</v>
      </c>
      <c r="V44">
        <v>16</v>
      </c>
      <c r="W44">
        <v>10.75</v>
      </c>
      <c r="X44">
        <v>32.125</v>
      </c>
      <c r="Y44">
        <v>1</v>
      </c>
      <c r="Z44">
        <v>5</v>
      </c>
    </row>
    <row r="45" spans="1:26">
      <c r="A45">
        <v>10</v>
      </c>
      <c r="B45" s="2">
        <v>45753.608891059033</v>
      </c>
      <c r="C45" s="5">
        <v>45721.563019748261</v>
      </c>
      <c r="D45" s="5">
        <v>45817.700633680557</v>
      </c>
      <c r="E45" s="6">
        <f>_xlfn.DAYS(Tabelle1[[#This Row],[End-Zeitfenster]],Tabelle1[[#This Row],[Start-Zeitfenster]])</f>
        <v>96</v>
      </c>
      <c r="F45">
        <v>1</v>
      </c>
      <c r="G45">
        <v>16</v>
      </c>
      <c r="H45">
        <v>4</v>
      </c>
      <c r="I45">
        <v>0.19500000000000001</v>
      </c>
      <c r="J45">
        <v>0.72899999999999998</v>
      </c>
      <c r="K45">
        <v>0.57999999999999996</v>
      </c>
      <c r="L45">
        <v>3.0830000000000002</v>
      </c>
      <c r="M45">
        <v>1.333</v>
      </c>
      <c r="N45">
        <v>15</v>
      </c>
      <c r="O45">
        <v>1500</v>
      </c>
      <c r="P45">
        <v>1</v>
      </c>
      <c r="Q45">
        <v>12</v>
      </c>
      <c r="R45">
        <v>75</v>
      </c>
      <c r="S45">
        <v>2</v>
      </c>
      <c r="T45" t="b">
        <v>0</v>
      </c>
      <c r="U45">
        <v>5.25</v>
      </c>
      <c r="V45">
        <v>16</v>
      </c>
      <c r="W45">
        <v>10.75</v>
      </c>
      <c r="X45">
        <v>32.125</v>
      </c>
      <c r="Y45">
        <v>1</v>
      </c>
      <c r="Z45">
        <v>6</v>
      </c>
    </row>
    <row r="46" spans="1:26">
      <c r="A46">
        <v>10</v>
      </c>
      <c r="B46" s="2">
        <v>45977.929990234377</v>
      </c>
      <c r="C46" s="5">
        <v>45913.838247612854</v>
      </c>
      <c r="D46" s="5">
        <v>46042.021732855901</v>
      </c>
      <c r="E46" s="6">
        <f>_xlfn.DAYS(Tabelle1[[#This Row],[End-Zeitfenster]],Tabelle1[[#This Row],[Start-Zeitfenster]])</f>
        <v>129</v>
      </c>
      <c r="F46">
        <v>1</v>
      </c>
      <c r="G46">
        <v>15</v>
      </c>
      <c r="H46">
        <v>1</v>
      </c>
      <c r="I46">
        <v>0.186</v>
      </c>
      <c r="J46">
        <v>2.149</v>
      </c>
      <c r="K46">
        <v>4.5449999999999999</v>
      </c>
      <c r="L46">
        <v>2.89</v>
      </c>
      <c r="M46">
        <v>1.25</v>
      </c>
      <c r="N46">
        <v>14</v>
      </c>
      <c r="O46">
        <v>1400</v>
      </c>
      <c r="P46">
        <v>2</v>
      </c>
      <c r="Q46">
        <v>14</v>
      </c>
      <c r="R46">
        <v>93.332999999999998</v>
      </c>
      <c r="S46">
        <v>2</v>
      </c>
      <c r="T46" t="b">
        <v>0</v>
      </c>
      <c r="U46">
        <v>5.25</v>
      </c>
      <c r="V46">
        <v>16</v>
      </c>
      <c r="W46">
        <v>10.75</v>
      </c>
      <c r="X46">
        <v>32.125</v>
      </c>
      <c r="Y46">
        <v>1</v>
      </c>
      <c r="Z46">
        <v>7</v>
      </c>
    </row>
    <row r="47" spans="1:26">
      <c r="A47">
        <v>10</v>
      </c>
      <c r="B47" s="2">
        <v>45881.792376302081</v>
      </c>
      <c r="C47" s="5">
        <v>45817.700633680557</v>
      </c>
      <c r="D47" s="5">
        <v>45913.838247612854</v>
      </c>
      <c r="E47" s="6">
        <f>_xlfn.DAYS(Tabelle1[[#This Row],[End-Zeitfenster]],Tabelle1[[#This Row],[Start-Zeitfenster]])</f>
        <v>96</v>
      </c>
      <c r="F47">
        <v>4</v>
      </c>
      <c r="G47">
        <v>10</v>
      </c>
      <c r="H47">
        <v>1</v>
      </c>
      <c r="I47">
        <v>0.57999999999999996</v>
      </c>
      <c r="J47">
        <v>0.873</v>
      </c>
      <c r="K47">
        <v>0.186</v>
      </c>
      <c r="L47">
        <v>1.927</v>
      </c>
      <c r="M47">
        <v>0.83299999999999996</v>
      </c>
      <c r="N47">
        <v>6</v>
      </c>
      <c r="O47">
        <v>150</v>
      </c>
      <c r="P47">
        <v>2</v>
      </c>
      <c r="Q47">
        <v>9</v>
      </c>
      <c r="R47">
        <v>90</v>
      </c>
      <c r="S47">
        <v>1</v>
      </c>
      <c r="T47" t="b">
        <v>0</v>
      </c>
      <c r="U47">
        <v>5.25</v>
      </c>
      <c r="V47">
        <v>16</v>
      </c>
      <c r="W47">
        <v>10.75</v>
      </c>
      <c r="X47">
        <v>32.125</v>
      </c>
      <c r="Y47">
        <v>1</v>
      </c>
      <c r="Z47">
        <v>8</v>
      </c>
    </row>
    <row r="48" spans="1:26">
      <c r="A48">
        <v>12</v>
      </c>
      <c r="B48" s="2">
        <v>45304.966692708331</v>
      </c>
      <c r="C48" s="5">
        <v>45272.920821397573</v>
      </c>
      <c r="D48" s="5">
        <v>45369.058435329862</v>
      </c>
      <c r="E48" s="6">
        <f>_xlfn.DAYS(Tabelle1[[#This Row],[End-Zeitfenster]],Tabelle1[[#This Row],[Start-Zeitfenster]])</f>
        <v>97</v>
      </c>
      <c r="F48">
        <v>6</v>
      </c>
      <c r="G48">
        <v>127</v>
      </c>
      <c r="H48">
        <v>5</v>
      </c>
      <c r="I48">
        <v>0.441</v>
      </c>
      <c r="J48">
        <v>4.8579999999999997</v>
      </c>
      <c r="K48">
        <v>0.48399999999999999</v>
      </c>
      <c r="L48">
        <v>27.43</v>
      </c>
      <c r="M48">
        <v>21.167000000000002</v>
      </c>
      <c r="N48">
        <v>121</v>
      </c>
      <c r="O48">
        <v>2016.6669999999999</v>
      </c>
      <c r="P48">
        <v>1</v>
      </c>
      <c r="Q48">
        <v>122</v>
      </c>
      <c r="R48">
        <v>96.063000000000002</v>
      </c>
      <c r="S48">
        <v>2</v>
      </c>
      <c r="T48" t="b">
        <v>1</v>
      </c>
      <c r="U48">
        <v>3.5</v>
      </c>
      <c r="V48">
        <v>13.5</v>
      </c>
      <c r="W48">
        <v>10</v>
      </c>
      <c r="X48">
        <v>28.5</v>
      </c>
      <c r="Y48">
        <v>1</v>
      </c>
      <c r="Z48">
        <v>1</v>
      </c>
    </row>
    <row r="49" spans="1:26">
      <c r="A49">
        <v>12</v>
      </c>
      <c r="B49" s="2">
        <v>45657.471277126737</v>
      </c>
      <c r="C49" s="5">
        <v>45593.379534505213</v>
      </c>
      <c r="D49" s="5">
        <v>45721.563019748261</v>
      </c>
      <c r="E49" s="6">
        <f>_xlfn.DAYS(Tabelle1[[#This Row],[End-Zeitfenster]],Tabelle1[[#This Row],[Start-Zeitfenster]])</f>
        <v>128</v>
      </c>
      <c r="F49">
        <v>2</v>
      </c>
      <c r="G49">
        <v>73</v>
      </c>
      <c r="H49">
        <v>5</v>
      </c>
      <c r="I49">
        <v>0.25600000000000001</v>
      </c>
      <c r="J49">
        <v>1.98</v>
      </c>
      <c r="K49">
        <v>0.97299999999999998</v>
      </c>
      <c r="L49">
        <v>15.766999999999999</v>
      </c>
      <c r="M49">
        <v>12.167</v>
      </c>
      <c r="N49">
        <v>71</v>
      </c>
      <c r="O49">
        <v>3550</v>
      </c>
      <c r="P49">
        <v>2</v>
      </c>
      <c r="Q49">
        <v>68</v>
      </c>
      <c r="R49">
        <v>93.150999999999996</v>
      </c>
      <c r="S49">
        <v>2</v>
      </c>
      <c r="T49" t="b">
        <v>1</v>
      </c>
      <c r="U49">
        <v>3.5</v>
      </c>
      <c r="V49">
        <v>13.5</v>
      </c>
      <c r="W49">
        <v>10</v>
      </c>
      <c r="X49">
        <v>28.5</v>
      </c>
      <c r="Y49">
        <v>2</v>
      </c>
      <c r="Z49">
        <v>2</v>
      </c>
    </row>
    <row r="50" spans="1:26">
      <c r="A50">
        <v>12</v>
      </c>
      <c r="B50" s="2">
        <v>45433.150177951393</v>
      </c>
      <c r="C50" s="5">
        <v>45369.058435329862</v>
      </c>
      <c r="D50" s="5">
        <v>45465.196049262151</v>
      </c>
      <c r="E50" s="6">
        <f>_xlfn.DAYS(Tabelle1[[#This Row],[End-Zeitfenster]],Tabelle1[[#This Row],[Start-Zeitfenster]])</f>
        <v>96</v>
      </c>
      <c r="F50">
        <v>5</v>
      </c>
      <c r="G50">
        <v>37</v>
      </c>
      <c r="H50">
        <v>7</v>
      </c>
      <c r="I50">
        <v>0.48399999999999999</v>
      </c>
      <c r="J50">
        <v>1.2270000000000001</v>
      </c>
      <c r="K50">
        <v>0.46100000000000002</v>
      </c>
      <c r="L50">
        <v>7.9909999999999997</v>
      </c>
      <c r="M50">
        <v>6.1669999999999998</v>
      </c>
      <c r="N50">
        <v>32</v>
      </c>
      <c r="O50">
        <v>640</v>
      </c>
      <c r="P50">
        <v>2</v>
      </c>
      <c r="Q50">
        <v>30</v>
      </c>
      <c r="R50">
        <v>81.081000000000003</v>
      </c>
      <c r="S50">
        <v>1</v>
      </c>
      <c r="T50" t="b">
        <v>1</v>
      </c>
      <c r="U50">
        <v>3.5</v>
      </c>
      <c r="V50">
        <v>13.5</v>
      </c>
      <c r="W50">
        <v>10</v>
      </c>
      <c r="X50">
        <v>28.5</v>
      </c>
      <c r="Y50">
        <v>1</v>
      </c>
      <c r="Z50">
        <v>3</v>
      </c>
    </row>
    <row r="51" spans="1:26">
      <c r="A51">
        <v>12</v>
      </c>
      <c r="B51" s="2">
        <v>45529.287791883682</v>
      </c>
      <c r="C51" s="5">
        <v>45465.196049262151</v>
      </c>
      <c r="D51" s="5">
        <v>45593.379534505213</v>
      </c>
      <c r="E51" s="6">
        <f>_xlfn.DAYS(Tabelle1[[#This Row],[End-Zeitfenster]],Tabelle1[[#This Row],[Start-Zeitfenster]])</f>
        <v>128</v>
      </c>
      <c r="F51">
        <v>7</v>
      </c>
      <c r="G51">
        <v>28</v>
      </c>
      <c r="H51">
        <v>2</v>
      </c>
      <c r="I51">
        <v>0.46100000000000002</v>
      </c>
      <c r="J51">
        <v>2.5569999999999999</v>
      </c>
      <c r="K51">
        <v>0.25600000000000001</v>
      </c>
      <c r="L51">
        <v>6.048</v>
      </c>
      <c r="M51">
        <v>4.6669999999999998</v>
      </c>
      <c r="N51">
        <v>21</v>
      </c>
      <c r="O51">
        <v>300</v>
      </c>
      <c r="P51">
        <v>2</v>
      </c>
      <c r="Q51">
        <v>26</v>
      </c>
      <c r="R51">
        <v>92.856999999999999</v>
      </c>
      <c r="S51">
        <v>2</v>
      </c>
      <c r="T51" t="b">
        <v>0</v>
      </c>
      <c r="U51">
        <v>3.5</v>
      </c>
      <c r="V51">
        <v>13.5</v>
      </c>
      <c r="W51">
        <v>10</v>
      </c>
      <c r="X51">
        <v>28.5</v>
      </c>
      <c r="Y51">
        <v>1</v>
      </c>
      <c r="Z51">
        <v>4</v>
      </c>
    </row>
    <row r="52" spans="1:26">
      <c r="A52">
        <v>12</v>
      </c>
      <c r="B52" s="2">
        <v>45208.829078776042</v>
      </c>
      <c r="C52" s="5">
        <v>45112.691464843752</v>
      </c>
      <c r="D52" s="5">
        <v>45240.874950086807</v>
      </c>
      <c r="E52" s="6">
        <f>_xlfn.DAYS(Tabelle1[[#This Row],[End-Zeitfenster]],Tabelle1[[#This Row],[Start-Zeitfenster]])</f>
        <v>128</v>
      </c>
      <c r="F52">
        <v>2</v>
      </c>
      <c r="G52">
        <v>15</v>
      </c>
      <c r="H52">
        <v>6</v>
      </c>
      <c r="I52">
        <v>0.18</v>
      </c>
      <c r="J52">
        <v>0.37</v>
      </c>
      <c r="K52">
        <v>0.30499999999999999</v>
      </c>
      <c r="L52">
        <v>3.24</v>
      </c>
      <c r="M52">
        <v>2.5</v>
      </c>
      <c r="N52">
        <v>13</v>
      </c>
      <c r="O52">
        <v>650</v>
      </c>
      <c r="P52">
        <v>2</v>
      </c>
      <c r="Q52">
        <v>9</v>
      </c>
      <c r="R52">
        <v>60</v>
      </c>
      <c r="S52">
        <v>1</v>
      </c>
      <c r="T52" t="b">
        <v>0</v>
      </c>
      <c r="U52">
        <v>3.5</v>
      </c>
      <c r="V52">
        <v>13.5</v>
      </c>
      <c r="W52">
        <v>10</v>
      </c>
      <c r="X52">
        <v>28.5</v>
      </c>
      <c r="Y52">
        <v>1</v>
      </c>
      <c r="Z52">
        <v>5</v>
      </c>
    </row>
    <row r="53" spans="1:26">
      <c r="A53">
        <v>12</v>
      </c>
      <c r="B53" s="2">
        <v>45753.608891059033</v>
      </c>
      <c r="C53" s="5">
        <v>45721.563019748261</v>
      </c>
      <c r="D53" s="5">
        <v>45849.746504991323</v>
      </c>
      <c r="E53" s="6">
        <f>_xlfn.DAYS(Tabelle1[[#This Row],[End-Zeitfenster]],Tabelle1[[#This Row],[Start-Zeitfenster]])</f>
        <v>128</v>
      </c>
      <c r="F53">
        <v>5</v>
      </c>
      <c r="G53">
        <v>13</v>
      </c>
      <c r="H53">
        <v>2</v>
      </c>
      <c r="I53">
        <v>0.97299999999999998</v>
      </c>
      <c r="J53">
        <v>0.59199999999999997</v>
      </c>
      <c r="K53">
        <v>0.22800000000000001</v>
      </c>
      <c r="L53">
        <v>2.8079999999999998</v>
      </c>
      <c r="M53">
        <v>2.1669999999999998</v>
      </c>
      <c r="N53">
        <v>8</v>
      </c>
      <c r="O53">
        <v>160</v>
      </c>
      <c r="P53">
        <v>1</v>
      </c>
      <c r="Q53">
        <v>11</v>
      </c>
      <c r="R53">
        <v>84.614999999999995</v>
      </c>
      <c r="S53">
        <v>3</v>
      </c>
      <c r="T53" t="b">
        <v>0</v>
      </c>
      <c r="U53">
        <v>3.5</v>
      </c>
      <c r="V53">
        <v>13.5</v>
      </c>
      <c r="W53">
        <v>10</v>
      </c>
      <c r="X53">
        <v>28.5</v>
      </c>
      <c r="Y53">
        <v>1</v>
      </c>
      <c r="Z53">
        <v>6</v>
      </c>
    </row>
    <row r="54" spans="1:26">
      <c r="A54">
        <v>12</v>
      </c>
      <c r="B54" s="2">
        <v>45881.792376302081</v>
      </c>
      <c r="C54" s="5">
        <v>45849.746504991323</v>
      </c>
      <c r="D54" s="5">
        <v>45913.838247612854</v>
      </c>
      <c r="E54" s="6">
        <f>_xlfn.DAYS(Tabelle1[[#This Row],[End-Zeitfenster]],Tabelle1[[#This Row],[Start-Zeitfenster]])</f>
        <v>64</v>
      </c>
      <c r="F54">
        <v>2</v>
      </c>
      <c r="G54">
        <v>12</v>
      </c>
      <c r="H54">
        <v>2</v>
      </c>
      <c r="I54">
        <v>0.22800000000000001</v>
      </c>
      <c r="J54">
        <v>1.048</v>
      </c>
      <c r="K54">
        <v>0.371</v>
      </c>
      <c r="L54">
        <v>2.5920000000000001</v>
      </c>
      <c r="M54">
        <v>2</v>
      </c>
      <c r="N54">
        <v>10</v>
      </c>
      <c r="O54">
        <v>500</v>
      </c>
      <c r="P54">
        <v>1</v>
      </c>
      <c r="Q54">
        <v>10</v>
      </c>
      <c r="R54">
        <v>83.332999999999998</v>
      </c>
      <c r="S54">
        <v>1</v>
      </c>
      <c r="T54" t="b">
        <v>0</v>
      </c>
      <c r="U54">
        <v>3.5</v>
      </c>
      <c r="V54">
        <v>13.5</v>
      </c>
      <c r="W54">
        <v>10</v>
      </c>
      <c r="X54">
        <v>28.5</v>
      </c>
      <c r="Y54">
        <v>1</v>
      </c>
      <c r="Z54">
        <v>7</v>
      </c>
    </row>
    <row r="55" spans="1:26">
      <c r="A55">
        <v>12</v>
      </c>
      <c r="B55" s="2">
        <v>45945.884118923612</v>
      </c>
      <c r="C55" s="5">
        <v>45913.838247612854</v>
      </c>
      <c r="D55" s="5">
        <v>46009.975861545143</v>
      </c>
      <c r="E55" s="6">
        <f>_xlfn.DAYS(Tabelle1[[#This Row],[End-Zeitfenster]],Tabelle1[[#This Row],[Start-Zeitfenster]])</f>
        <v>96</v>
      </c>
      <c r="F55">
        <v>2</v>
      </c>
      <c r="G55">
        <v>5</v>
      </c>
      <c r="H55">
        <v>1</v>
      </c>
      <c r="I55">
        <v>0.371</v>
      </c>
      <c r="J55">
        <v>0.96899999999999997</v>
      </c>
      <c r="K55">
        <v>0.23499999999999999</v>
      </c>
      <c r="L55">
        <v>1.08</v>
      </c>
      <c r="M55">
        <v>0.83299999999999996</v>
      </c>
      <c r="N55">
        <v>3</v>
      </c>
      <c r="O55">
        <v>150</v>
      </c>
      <c r="P55">
        <v>1</v>
      </c>
      <c r="Q55">
        <v>4</v>
      </c>
      <c r="R55">
        <v>80</v>
      </c>
      <c r="S55">
        <v>2</v>
      </c>
      <c r="T55" t="b">
        <v>0</v>
      </c>
      <c r="U55">
        <v>3.5</v>
      </c>
      <c r="V55">
        <v>13.5</v>
      </c>
      <c r="W55">
        <v>10</v>
      </c>
      <c r="X55">
        <v>28.5</v>
      </c>
      <c r="Y55">
        <v>1</v>
      </c>
      <c r="Z55">
        <v>8</v>
      </c>
    </row>
    <row r="56" spans="1:26">
      <c r="A56">
        <v>12</v>
      </c>
      <c r="B56" s="2">
        <v>45080.645593532987</v>
      </c>
      <c r="C56" s="5">
        <v>45047.574254340281</v>
      </c>
      <c r="D56" s="5">
        <v>45112.691464843752</v>
      </c>
      <c r="E56" s="6">
        <f>_xlfn.DAYS(Tabelle1[[#This Row],[End-Zeitfenster]],Tabelle1[[#This Row],[Start-Zeitfenster]])</f>
        <v>65</v>
      </c>
      <c r="F56">
        <v>1</v>
      </c>
      <c r="G56">
        <v>4</v>
      </c>
      <c r="H56">
        <v>2</v>
      </c>
      <c r="I56">
        <v>0.16400000000000001</v>
      </c>
      <c r="J56">
        <v>0.24</v>
      </c>
      <c r="K56">
        <v>0.18</v>
      </c>
      <c r="L56">
        <v>0.86399999999999999</v>
      </c>
      <c r="M56">
        <v>0.66700000000000004</v>
      </c>
      <c r="N56">
        <v>3</v>
      </c>
      <c r="O56">
        <v>300</v>
      </c>
      <c r="P56">
        <v>1</v>
      </c>
      <c r="Q56">
        <v>2</v>
      </c>
      <c r="R56">
        <v>50</v>
      </c>
      <c r="S56">
        <v>1</v>
      </c>
      <c r="T56" t="b">
        <v>0</v>
      </c>
      <c r="U56">
        <v>3.5</v>
      </c>
      <c r="V56">
        <v>13.5</v>
      </c>
      <c r="W56">
        <v>10</v>
      </c>
      <c r="X56">
        <v>28.5</v>
      </c>
      <c r="Y56">
        <v>1</v>
      </c>
      <c r="Z56">
        <v>9</v>
      </c>
    </row>
    <row r="57" spans="1:26">
      <c r="A57">
        <v>16</v>
      </c>
      <c r="B57" s="2">
        <v>45176.783207465283</v>
      </c>
      <c r="C57" s="5">
        <v>45144.737336154511</v>
      </c>
      <c r="D57" s="5">
        <v>45240.874950086807</v>
      </c>
      <c r="E57" s="6">
        <f>_xlfn.DAYS(Tabelle1[[#This Row],[End-Zeitfenster]],Tabelle1[[#This Row],[Start-Zeitfenster]])</f>
        <v>96</v>
      </c>
      <c r="F57">
        <v>6</v>
      </c>
      <c r="G57">
        <v>31</v>
      </c>
      <c r="H57">
        <v>7</v>
      </c>
      <c r="I57">
        <v>0.73299999999999998</v>
      </c>
      <c r="J57">
        <v>2.12</v>
      </c>
      <c r="K57">
        <v>0.35599999999999998</v>
      </c>
      <c r="L57">
        <v>7.6920000000000002</v>
      </c>
      <c r="M57">
        <v>2.3849999999999998</v>
      </c>
      <c r="N57">
        <v>25</v>
      </c>
      <c r="O57">
        <v>416.66699999999997</v>
      </c>
      <c r="P57">
        <v>1</v>
      </c>
      <c r="Q57">
        <v>24</v>
      </c>
      <c r="R57">
        <v>77.418999999999997</v>
      </c>
      <c r="S57">
        <v>2</v>
      </c>
      <c r="T57" t="b">
        <v>0</v>
      </c>
      <c r="U57">
        <v>6</v>
      </c>
      <c r="V57">
        <v>19.5</v>
      </c>
      <c r="W57">
        <v>13.5</v>
      </c>
      <c r="X57">
        <v>39.75</v>
      </c>
      <c r="Y57">
        <v>1</v>
      </c>
      <c r="Z57">
        <v>1</v>
      </c>
    </row>
    <row r="58" spans="1:26">
      <c r="A58">
        <v>16</v>
      </c>
      <c r="B58" s="2">
        <v>45304.966692708331</v>
      </c>
      <c r="C58" s="5">
        <v>45240.874950086807</v>
      </c>
      <c r="D58" s="5">
        <v>45369.058435329862</v>
      </c>
      <c r="E58" s="6">
        <f>_xlfn.DAYS(Tabelle1[[#This Row],[End-Zeitfenster]],Tabelle1[[#This Row],[Start-Zeitfenster]])</f>
        <v>129</v>
      </c>
      <c r="F58">
        <v>7</v>
      </c>
      <c r="G58">
        <v>30</v>
      </c>
      <c r="H58">
        <v>9</v>
      </c>
      <c r="I58">
        <v>0.35599999999999998</v>
      </c>
      <c r="J58">
        <v>1.1479999999999999</v>
      </c>
      <c r="K58">
        <v>0.872</v>
      </c>
      <c r="L58">
        <v>7.444</v>
      </c>
      <c r="M58">
        <v>2.3079999999999998</v>
      </c>
      <c r="N58">
        <v>23</v>
      </c>
      <c r="O58">
        <v>328.57100000000003</v>
      </c>
      <c r="P58">
        <v>2</v>
      </c>
      <c r="Q58">
        <v>21</v>
      </c>
      <c r="R58">
        <v>70</v>
      </c>
      <c r="S58">
        <v>2</v>
      </c>
      <c r="T58" t="b">
        <v>0</v>
      </c>
      <c r="U58">
        <v>6</v>
      </c>
      <c r="V58">
        <v>19.5</v>
      </c>
      <c r="W58">
        <v>13.5</v>
      </c>
      <c r="X58">
        <v>39.75</v>
      </c>
      <c r="Y58">
        <v>1</v>
      </c>
      <c r="Z58">
        <v>2</v>
      </c>
    </row>
    <row r="59" spans="1:26">
      <c r="A59">
        <v>16</v>
      </c>
      <c r="B59" s="2">
        <v>45529.287791883682</v>
      </c>
      <c r="C59" s="5">
        <v>45465.196049262151</v>
      </c>
      <c r="D59" s="5">
        <v>45625.425405815971</v>
      </c>
      <c r="E59" s="6">
        <f>_xlfn.DAYS(Tabelle1[[#This Row],[End-Zeitfenster]],Tabelle1[[#This Row],[Start-Zeitfenster]])</f>
        <v>160</v>
      </c>
      <c r="F59">
        <v>5</v>
      </c>
      <c r="G59">
        <v>24</v>
      </c>
      <c r="H59">
        <v>5</v>
      </c>
      <c r="I59">
        <v>0.32900000000000001</v>
      </c>
      <c r="J59">
        <v>2.1920000000000002</v>
      </c>
      <c r="K59">
        <v>0.41699999999999998</v>
      </c>
      <c r="L59">
        <v>5.9550000000000001</v>
      </c>
      <c r="M59">
        <v>1.8460000000000001</v>
      </c>
      <c r="N59">
        <v>19</v>
      </c>
      <c r="O59">
        <v>380</v>
      </c>
      <c r="P59">
        <v>2</v>
      </c>
      <c r="Q59">
        <v>19</v>
      </c>
      <c r="R59">
        <v>79.167000000000002</v>
      </c>
      <c r="S59">
        <v>3</v>
      </c>
      <c r="T59" t="b">
        <v>0</v>
      </c>
      <c r="U59">
        <v>6</v>
      </c>
      <c r="V59">
        <v>19.5</v>
      </c>
      <c r="W59">
        <v>13.5</v>
      </c>
      <c r="X59">
        <v>39.75</v>
      </c>
      <c r="Y59">
        <v>1</v>
      </c>
      <c r="Z59">
        <v>3</v>
      </c>
    </row>
    <row r="60" spans="1:26">
      <c r="A60">
        <v>16</v>
      </c>
      <c r="B60" s="2">
        <v>45689.517148437502</v>
      </c>
      <c r="C60" s="5">
        <v>45625.425405815971</v>
      </c>
      <c r="D60" s="5">
        <v>45721.563019748261</v>
      </c>
      <c r="E60" s="6">
        <f>_xlfn.DAYS(Tabelle1[[#This Row],[End-Zeitfenster]],Tabelle1[[#This Row],[Start-Zeitfenster]])</f>
        <v>96</v>
      </c>
      <c r="F60">
        <v>5</v>
      </c>
      <c r="G60">
        <v>23</v>
      </c>
      <c r="H60">
        <v>7</v>
      </c>
      <c r="I60">
        <v>0.41699999999999998</v>
      </c>
      <c r="J60">
        <v>0.82399999999999995</v>
      </c>
      <c r="K60">
        <v>1.3620000000000001</v>
      </c>
      <c r="L60">
        <v>5.7069999999999999</v>
      </c>
      <c r="M60">
        <v>1.7689999999999999</v>
      </c>
      <c r="N60">
        <v>18</v>
      </c>
      <c r="O60">
        <v>360</v>
      </c>
      <c r="P60">
        <v>2</v>
      </c>
      <c r="Q60">
        <v>16</v>
      </c>
      <c r="R60">
        <v>69.564999999999998</v>
      </c>
      <c r="S60">
        <v>1</v>
      </c>
      <c r="T60" t="b">
        <v>0</v>
      </c>
      <c r="U60">
        <v>6</v>
      </c>
      <c r="V60">
        <v>19.5</v>
      </c>
      <c r="W60">
        <v>13.5</v>
      </c>
      <c r="X60">
        <v>39.75</v>
      </c>
      <c r="Y60">
        <v>1</v>
      </c>
      <c r="Z60">
        <v>4</v>
      </c>
    </row>
    <row r="61" spans="1:26">
      <c r="A61">
        <v>16</v>
      </c>
      <c r="B61" s="2">
        <v>45433.150177951393</v>
      </c>
      <c r="C61" s="5">
        <v>45369.058435329862</v>
      </c>
      <c r="D61" s="5">
        <v>45465.196049262151</v>
      </c>
      <c r="E61" s="6">
        <f>_xlfn.DAYS(Tabelle1[[#This Row],[End-Zeitfenster]],Tabelle1[[#This Row],[Start-Zeitfenster]])</f>
        <v>96</v>
      </c>
      <c r="F61">
        <v>9</v>
      </c>
      <c r="G61">
        <v>21</v>
      </c>
      <c r="H61">
        <v>5</v>
      </c>
      <c r="I61">
        <v>0.872</v>
      </c>
      <c r="J61">
        <v>0.69699999999999995</v>
      </c>
      <c r="K61">
        <v>0.32900000000000001</v>
      </c>
      <c r="L61">
        <v>5.2110000000000003</v>
      </c>
      <c r="M61">
        <v>1.615</v>
      </c>
      <c r="N61">
        <v>12</v>
      </c>
      <c r="O61">
        <v>133.333</v>
      </c>
      <c r="P61">
        <v>2</v>
      </c>
      <c r="Q61">
        <v>16</v>
      </c>
      <c r="R61">
        <v>76.19</v>
      </c>
      <c r="S61">
        <v>1</v>
      </c>
      <c r="T61" t="b">
        <v>0</v>
      </c>
      <c r="U61">
        <v>6</v>
      </c>
      <c r="V61">
        <v>19.5</v>
      </c>
      <c r="W61">
        <v>13.5</v>
      </c>
      <c r="X61">
        <v>39.75</v>
      </c>
      <c r="Y61">
        <v>1</v>
      </c>
      <c r="Z61">
        <v>5</v>
      </c>
    </row>
    <row r="62" spans="1:26">
      <c r="A62">
        <v>16</v>
      </c>
      <c r="B62" s="2">
        <v>45753.608891059033</v>
      </c>
      <c r="C62" s="5">
        <v>45721.563019748261</v>
      </c>
      <c r="D62" s="5">
        <v>45849.746504991323</v>
      </c>
      <c r="E62" s="6">
        <f>_xlfn.DAYS(Tabelle1[[#This Row],[End-Zeitfenster]],Tabelle1[[#This Row],[Start-Zeitfenster]])</f>
        <v>128</v>
      </c>
      <c r="F62">
        <v>7</v>
      </c>
      <c r="G62">
        <v>20</v>
      </c>
      <c r="H62">
        <v>5</v>
      </c>
      <c r="I62">
        <v>1.3620000000000001</v>
      </c>
      <c r="J62">
        <v>0.91100000000000003</v>
      </c>
      <c r="K62">
        <v>0.56999999999999995</v>
      </c>
      <c r="L62">
        <v>4.9630000000000001</v>
      </c>
      <c r="M62">
        <v>1.538</v>
      </c>
      <c r="N62">
        <v>13</v>
      </c>
      <c r="O62">
        <v>185.714</v>
      </c>
      <c r="P62">
        <v>1</v>
      </c>
      <c r="Q62">
        <v>15</v>
      </c>
      <c r="R62">
        <v>75</v>
      </c>
      <c r="S62">
        <v>3</v>
      </c>
      <c r="T62" t="b">
        <v>0</v>
      </c>
      <c r="U62">
        <v>6</v>
      </c>
      <c r="V62">
        <v>19.5</v>
      </c>
      <c r="W62">
        <v>13.5</v>
      </c>
      <c r="X62">
        <v>39.75</v>
      </c>
      <c r="Y62">
        <v>1</v>
      </c>
      <c r="Z62">
        <v>6</v>
      </c>
    </row>
    <row r="63" spans="1:26">
      <c r="A63">
        <v>16</v>
      </c>
      <c r="B63" s="2">
        <v>45080.645593532987</v>
      </c>
      <c r="C63" s="5">
        <v>45047.574254340281</v>
      </c>
      <c r="D63" s="5">
        <v>45112.691464843752</v>
      </c>
      <c r="E63" s="6">
        <f>_xlfn.DAYS(Tabelle1[[#This Row],[End-Zeitfenster]],Tabelle1[[#This Row],[Start-Zeitfenster]])</f>
        <v>65</v>
      </c>
      <c r="F63">
        <v>6</v>
      </c>
      <c r="G63">
        <v>13</v>
      </c>
      <c r="H63">
        <v>6</v>
      </c>
      <c r="I63">
        <v>0.98199999999999998</v>
      </c>
      <c r="J63">
        <v>0.78100000000000003</v>
      </c>
      <c r="K63">
        <v>0.54</v>
      </c>
      <c r="L63">
        <v>3.226</v>
      </c>
      <c r="M63">
        <v>1</v>
      </c>
      <c r="N63">
        <v>7</v>
      </c>
      <c r="O63">
        <v>116.667</v>
      </c>
      <c r="P63">
        <v>1</v>
      </c>
      <c r="Q63">
        <v>7</v>
      </c>
      <c r="R63">
        <v>53.845999999999997</v>
      </c>
      <c r="S63">
        <v>1</v>
      </c>
      <c r="T63" t="b">
        <v>0</v>
      </c>
      <c r="U63">
        <v>6</v>
      </c>
      <c r="V63">
        <v>19.5</v>
      </c>
      <c r="W63">
        <v>13.5</v>
      </c>
      <c r="X63">
        <v>39.75</v>
      </c>
      <c r="Y63">
        <v>1</v>
      </c>
      <c r="Z63">
        <v>7</v>
      </c>
    </row>
    <row r="64" spans="1:26">
      <c r="A64">
        <v>16</v>
      </c>
      <c r="B64" s="2">
        <v>45977.929990234377</v>
      </c>
      <c r="C64" s="5">
        <v>45913.838247612854</v>
      </c>
      <c r="D64" s="5">
        <v>46009.975861545143</v>
      </c>
      <c r="E64" s="6">
        <f>_xlfn.DAYS(Tabelle1[[#This Row],[End-Zeitfenster]],Tabelle1[[#This Row],[Start-Zeitfenster]])</f>
        <v>96</v>
      </c>
      <c r="F64">
        <v>2</v>
      </c>
      <c r="G64">
        <v>8</v>
      </c>
      <c r="H64">
        <v>4</v>
      </c>
      <c r="I64">
        <v>0.371</v>
      </c>
      <c r="J64">
        <v>1.1459999999999999</v>
      </c>
      <c r="K64">
        <v>0.93899999999999995</v>
      </c>
      <c r="L64">
        <v>1.9850000000000001</v>
      </c>
      <c r="M64">
        <v>0.61499999999999999</v>
      </c>
      <c r="N64">
        <v>6</v>
      </c>
      <c r="O64">
        <v>300</v>
      </c>
      <c r="P64">
        <v>2</v>
      </c>
      <c r="Q64">
        <v>4</v>
      </c>
      <c r="R64">
        <v>50</v>
      </c>
      <c r="S64">
        <v>1</v>
      </c>
      <c r="T64" t="b">
        <v>0</v>
      </c>
      <c r="U64">
        <v>6</v>
      </c>
      <c r="V64">
        <v>19.5</v>
      </c>
      <c r="W64">
        <v>13.5</v>
      </c>
      <c r="X64">
        <v>39.75</v>
      </c>
      <c r="Y64">
        <v>1</v>
      </c>
      <c r="Z64">
        <v>8</v>
      </c>
    </row>
    <row r="65" spans="1:26">
      <c r="A65">
        <v>16</v>
      </c>
      <c r="B65" s="2">
        <v>45881.792376302081</v>
      </c>
      <c r="C65" s="5">
        <v>45849.746504991323</v>
      </c>
      <c r="D65" s="5">
        <v>45913.838247612854</v>
      </c>
      <c r="E65" s="6">
        <f>_xlfn.DAYS(Tabelle1[[#This Row],[End-Zeitfenster]],Tabelle1[[#This Row],[Start-Zeitfenster]])</f>
        <v>64</v>
      </c>
      <c r="F65">
        <v>5</v>
      </c>
      <c r="G65">
        <v>6</v>
      </c>
      <c r="H65">
        <v>2</v>
      </c>
      <c r="I65">
        <v>0.56999999999999995</v>
      </c>
      <c r="J65">
        <v>0.52400000000000002</v>
      </c>
      <c r="K65">
        <v>0.371</v>
      </c>
      <c r="L65">
        <v>1.4890000000000001</v>
      </c>
      <c r="M65">
        <v>0.46200000000000002</v>
      </c>
      <c r="N65">
        <v>1</v>
      </c>
      <c r="O65">
        <v>20</v>
      </c>
      <c r="P65">
        <v>1</v>
      </c>
      <c r="Q65">
        <v>4</v>
      </c>
      <c r="R65">
        <v>66.667000000000002</v>
      </c>
      <c r="S65">
        <v>1</v>
      </c>
      <c r="T65" t="b">
        <v>0</v>
      </c>
      <c r="U65">
        <v>6</v>
      </c>
      <c r="V65">
        <v>19.5</v>
      </c>
      <c r="W65">
        <v>13.5</v>
      </c>
      <c r="X65">
        <v>39.75</v>
      </c>
      <c r="Y65">
        <v>1</v>
      </c>
      <c r="Z65">
        <v>9</v>
      </c>
    </row>
    <row r="66" spans="1:26">
      <c r="A66">
        <v>17</v>
      </c>
      <c r="B66" s="2">
        <v>45625.425405815971</v>
      </c>
      <c r="C66" s="5">
        <v>45593.379534505213</v>
      </c>
      <c r="D66" s="5">
        <v>45721.563019748261</v>
      </c>
      <c r="E66" s="6">
        <f>_xlfn.DAYS(Tabelle1[[#This Row],[End-Zeitfenster]],Tabelle1[[#This Row],[Start-Zeitfenster]])</f>
        <v>128</v>
      </c>
      <c r="F66">
        <v>2</v>
      </c>
      <c r="G66">
        <v>106</v>
      </c>
      <c r="H66">
        <v>6</v>
      </c>
      <c r="I66">
        <v>0.25600000000000001</v>
      </c>
      <c r="J66">
        <v>8.8480000000000008</v>
      </c>
      <c r="K66">
        <v>1.167</v>
      </c>
      <c r="L66">
        <v>27.11</v>
      </c>
      <c r="M66">
        <v>14.132999999999999</v>
      </c>
      <c r="N66">
        <v>104</v>
      </c>
      <c r="O66">
        <v>5200</v>
      </c>
      <c r="P66">
        <v>1</v>
      </c>
      <c r="Q66">
        <v>100</v>
      </c>
      <c r="R66">
        <v>94.34</v>
      </c>
      <c r="S66">
        <v>3</v>
      </c>
      <c r="T66" t="b">
        <v>1</v>
      </c>
      <c r="U66">
        <v>5.25</v>
      </c>
      <c r="V66">
        <v>11</v>
      </c>
      <c r="W66">
        <v>5.75</v>
      </c>
      <c r="X66">
        <v>19.625</v>
      </c>
      <c r="Y66">
        <v>3</v>
      </c>
      <c r="Z66">
        <v>1</v>
      </c>
    </row>
    <row r="67" spans="1:26">
      <c r="A67">
        <v>17</v>
      </c>
      <c r="B67" s="2">
        <v>45529.287791883682</v>
      </c>
      <c r="C67" s="5">
        <v>45465.196049262151</v>
      </c>
      <c r="D67" s="5">
        <v>45593.379534505213</v>
      </c>
      <c r="E67" s="6">
        <f>_xlfn.DAYS(Tabelle1[[#This Row],[End-Zeitfenster]],Tabelle1[[#This Row],[Start-Zeitfenster]])</f>
        <v>128</v>
      </c>
      <c r="F67">
        <v>9</v>
      </c>
      <c r="G67">
        <v>27</v>
      </c>
      <c r="H67">
        <v>2</v>
      </c>
      <c r="I67">
        <v>0.59199999999999997</v>
      </c>
      <c r="J67">
        <v>2.4660000000000002</v>
      </c>
      <c r="K67">
        <v>0.25600000000000001</v>
      </c>
      <c r="L67">
        <v>6.9050000000000002</v>
      </c>
      <c r="M67">
        <v>3.6</v>
      </c>
      <c r="N67">
        <v>18</v>
      </c>
      <c r="O67">
        <v>200</v>
      </c>
      <c r="P67">
        <v>2</v>
      </c>
      <c r="Q67">
        <v>25</v>
      </c>
      <c r="R67">
        <v>92.593000000000004</v>
      </c>
      <c r="S67">
        <v>2</v>
      </c>
      <c r="T67" t="b">
        <v>1</v>
      </c>
      <c r="U67">
        <v>5.25</v>
      </c>
      <c r="V67">
        <v>11</v>
      </c>
      <c r="W67">
        <v>5.75</v>
      </c>
      <c r="X67">
        <v>19.625</v>
      </c>
      <c r="Y67">
        <v>1</v>
      </c>
      <c r="Z67">
        <v>2</v>
      </c>
    </row>
    <row r="68" spans="1:26">
      <c r="A68">
        <v>17</v>
      </c>
      <c r="B68" s="2">
        <v>45304.966692708331</v>
      </c>
      <c r="C68" s="5">
        <v>45272.920821397573</v>
      </c>
      <c r="D68" s="5">
        <v>45337.012564019104</v>
      </c>
      <c r="E68" s="6">
        <f>_xlfn.DAYS(Tabelle1[[#This Row],[End-Zeitfenster]],Tabelle1[[#This Row],[Start-Zeitfenster]])</f>
        <v>65</v>
      </c>
      <c r="F68">
        <v>3</v>
      </c>
      <c r="G68">
        <v>12</v>
      </c>
      <c r="H68">
        <v>1</v>
      </c>
      <c r="I68">
        <v>0.22</v>
      </c>
      <c r="J68">
        <v>0.45900000000000002</v>
      </c>
      <c r="K68">
        <v>6.3E-2</v>
      </c>
      <c r="L68">
        <v>3.069</v>
      </c>
      <c r="M68">
        <v>1.6</v>
      </c>
      <c r="N68">
        <v>9</v>
      </c>
      <c r="O68">
        <v>300</v>
      </c>
      <c r="P68">
        <v>1</v>
      </c>
      <c r="Q68">
        <v>11</v>
      </c>
      <c r="R68">
        <v>91.667000000000002</v>
      </c>
      <c r="S68">
        <v>1</v>
      </c>
      <c r="T68" t="b">
        <v>0</v>
      </c>
      <c r="U68">
        <v>5.25</v>
      </c>
      <c r="V68">
        <v>11</v>
      </c>
      <c r="W68">
        <v>5.75</v>
      </c>
      <c r="X68">
        <v>19.625</v>
      </c>
      <c r="Y68">
        <v>1</v>
      </c>
      <c r="Z68">
        <v>3</v>
      </c>
    </row>
    <row r="69" spans="1:26">
      <c r="A69">
        <v>17</v>
      </c>
      <c r="B69" s="2">
        <v>45849.746504991323</v>
      </c>
      <c r="C69" s="5">
        <v>45721.563019748261</v>
      </c>
      <c r="D69" s="5">
        <v>45881.792376302081</v>
      </c>
      <c r="E69" s="6">
        <f>_xlfn.DAYS(Tabelle1[[#This Row],[End-Zeitfenster]],Tabelle1[[#This Row],[Start-Zeitfenster]])</f>
        <v>160</v>
      </c>
      <c r="F69">
        <v>6</v>
      </c>
      <c r="G69">
        <v>12</v>
      </c>
      <c r="H69">
        <v>6</v>
      </c>
      <c r="I69">
        <v>1.167</v>
      </c>
      <c r="J69">
        <v>1.3680000000000001</v>
      </c>
      <c r="K69">
        <v>0.52400000000000002</v>
      </c>
      <c r="L69">
        <v>3.069</v>
      </c>
      <c r="M69">
        <v>1.6</v>
      </c>
      <c r="N69">
        <v>6</v>
      </c>
      <c r="O69">
        <v>100</v>
      </c>
      <c r="P69">
        <v>4</v>
      </c>
      <c r="Q69">
        <v>6</v>
      </c>
      <c r="R69">
        <v>50</v>
      </c>
      <c r="S69">
        <v>1</v>
      </c>
      <c r="T69" t="b">
        <v>0</v>
      </c>
      <c r="U69">
        <v>5.25</v>
      </c>
      <c r="V69">
        <v>11</v>
      </c>
      <c r="W69">
        <v>5.75</v>
      </c>
      <c r="X69">
        <v>19.625</v>
      </c>
      <c r="Y69">
        <v>1</v>
      </c>
      <c r="Z69">
        <v>4</v>
      </c>
    </row>
    <row r="70" spans="1:26">
      <c r="A70">
        <v>17</v>
      </c>
      <c r="B70" s="2">
        <v>45176.783207465283</v>
      </c>
      <c r="C70" s="5">
        <v>45144.737336154511</v>
      </c>
      <c r="D70" s="5">
        <v>45272.920821397573</v>
      </c>
      <c r="E70" s="6">
        <f>_xlfn.DAYS(Tabelle1[[#This Row],[End-Zeitfenster]],Tabelle1[[#This Row],[Start-Zeitfenster]])</f>
        <v>128</v>
      </c>
      <c r="F70">
        <v>4</v>
      </c>
      <c r="G70">
        <v>11</v>
      </c>
      <c r="H70">
        <v>3</v>
      </c>
      <c r="I70">
        <v>0.48899999999999999</v>
      </c>
      <c r="J70">
        <v>0.752</v>
      </c>
      <c r="K70">
        <v>0.22</v>
      </c>
      <c r="L70">
        <v>2.8130000000000002</v>
      </c>
      <c r="M70">
        <v>1.4670000000000001</v>
      </c>
      <c r="N70">
        <v>7</v>
      </c>
      <c r="O70">
        <v>175</v>
      </c>
      <c r="P70">
        <v>1</v>
      </c>
      <c r="Q70">
        <v>8</v>
      </c>
      <c r="R70">
        <v>72.727000000000004</v>
      </c>
      <c r="S70">
        <v>3</v>
      </c>
      <c r="T70" t="b">
        <v>0</v>
      </c>
      <c r="U70">
        <v>5.25</v>
      </c>
      <c r="V70">
        <v>11</v>
      </c>
      <c r="W70">
        <v>5.75</v>
      </c>
      <c r="X70">
        <v>19.625</v>
      </c>
      <c r="Y70">
        <v>1</v>
      </c>
      <c r="Z70">
        <v>5</v>
      </c>
    </row>
    <row r="71" spans="1:26">
      <c r="A71">
        <v>17</v>
      </c>
      <c r="B71" s="2">
        <v>45080.645593532987</v>
      </c>
      <c r="C71" s="5">
        <v>45047.574254340281</v>
      </c>
      <c r="D71" s="5">
        <v>45144.737336154511</v>
      </c>
      <c r="E71" s="6">
        <f>_xlfn.DAYS(Tabelle1[[#This Row],[End-Zeitfenster]],Tabelle1[[#This Row],[Start-Zeitfenster]])</f>
        <v>97</v>
      </c>
      <c r="F71">
        <v>3</v>
      </c>
      <c r="G71">
        <v>9</v>
      </c>
      <c r="H71">
        <v>4</v>
      </c>
      <c r="I71">
        <v>0.49099999999999999</v>
      </c>
      <c r="J71">
        <v>0.54100000000000004</v>
      </c>
      <c r="K71">
        <v>0.48899999999999999</v>
      </c>
      <c r="L71">
        <v>2.302</v>
      </c>
      <c r="M71">
        <v>1.2</v>
      </c>
      <c r="N71">
        <v>6</v>
      </c>
      <c r="O71">
        <v>200</v>
      </c>
      <c r="P71">
        <v>1</v>
      </c>
      <c r="Q71">
        <v>5</v>
      </c>
      <c r="R71">
        <v>55.555999999999997</v>
      </c>
      <c r="S71">
        <v>1</v>
      </c>
      <c r="T71" t="b">
        <v>0</v>
      </c>
      <c r="U71">
        <v>5.25</v>
      </c>
      <c r="V71">
        <v>11</v>
      </c>
      <c r="W71">
        <v>5.75</v>
      </c>
      <c r="X71">
        <v>19.625</v>
      </c>
      <c r="Y71">
        <v>1</v>
      </c>
      <c r="Z71">
        <v>6</v>
      </c>
    </row>
    <row r="72" spans="1:26">
      <c r="A72">
        <v>17</v>
      </c>
      <c r="B72" s="2">
        <v>45433.150177951393</v>
      </c>
      <c r="C72" s="5">
        <v>45337.012564019104</v>
      </c>
      <c r="D72" s="5">
        <v>45465.196049262151</v>
      </c>
      <c r="E72" s="6">
        <f>_xlfn.DAYS(Tabelle1[[#This Row],[End-Zeitfenster]],Tabelle1[[#This Row],[Start-Zeitfenster]])</f>
        <v>128</v>
      </c>
      <c r="F72">
        <v>1</v>
      </c>
      <c r="G72">
        <v>9</v>
      </c>
      <c r="H72">
        <v>9</v>
      </c>
      <c r="I72">
        <v>6.3E-2</v>
      </c>
      <c r="J72">
        <v>0.29899999999999999</v>
      </c>
      <c r="K72">
        <v>0.59199999999999997</v>
      </c>
      <c r="L72">
        <v>2.302</v>
      </c>
      <c r="M72">
        <v>1.2</v>
      </c>
      <c r="N72">
        <v>8</v>
      </c>
      <c r="O72">
        <v>800</v>
      </c>
      <c r="P72">
        <v>3</v>
      </c>
      <c r="Q72">
        <v>0</v>
      </c>
      <c r="R72">
        <v>0</v>
      </c>
      <c r="S72">
        <v>1</v>
      </c>
      <c r="T72" t="b">
        <v>0</v>
      </c>
      <c r="U72">
        <v>5.25</v>
      </c>
      <c r="V72">
        <v>11</v>
      </c>
      <c r="W72">
        <v>5.75</v>
      </c>
      <c r="X72">
        <v>19.625</v>
      </c>
      <c r="Y72">
        <v>1</v>
      </c>
      <c r="Z72">
        <v>7</v>
      </c>
    </row>
    <row r="73" spans="1:26">
      <c r="A73">
        <v>17</v>
      </c>
      <c r="B73" s="2">
        <v>45913.838247612854</v>
      </c>
      <c r="C73" s="5">
        <v>45881.792376302081</v>
      </c>
      <c r="D73" s="5">
        <v>46009.975861545143</v>
      </c>
      <c r="E73" s="6">
        <f>_xlfn.DAYS(Tabelle1[[#This Row],[End-Zeitfenster]],Tabelle1[[#This Row],[Start-Zeitfenster]])</f>
        <v>128</v>
      </c>
      <c r="F73">
        <v>6</v>
      </c>
      <c r="G73">
        <v>8</v>
      </c>
      <c r="H73">
        <v>3</v>
      </c>
      <c r="I73">
        <v>0.52400000000000002</v>
      </c>
      <c r="J73">
        <v>1.484</v>
      </c>
      <c r="K73">
        <v>0.70399999999999996</v>
      </c>
      <c r="L73">
        <v>2.0459999999999998</v>
      </c>
      <c r="M73">
        <v>1.0669999999999999</v>
      </c>
      <c r="N73">
        <v>2</v>
      </c>
      <c r="O73">
        <v>33.332999999999998</v>
      </c>
      <c r="P73">
        <v>1</v>
      </c>
      <c r="Q73">
        <v>5</v>
      </c>
      <c r="R73">
        <v>62.5</v>
      </c>
      <c r="S73">
        <v>3</v>
      </c>
      <c r="T73" t="b">
        <v>0</v>
      </c>
      <c r="U73">
        <v>5.25</v>
      </c>
      <c r="V73">
        <v>11</v>
      </c>
      <c r="W73">
        <v>5.75</v>
      </c>
      <c r="X73">
        <v>19.625</v>
      </c>
      <c r="Y73">
        <v>1</v>
      </c>
      <c r="Z73">
        <v>8</v>
      </c>
    </row>
    <row r="74" spans="1:26">
      <c r="A74">
        <v>19</v>
      </c>
      <c r="B74" s="2">
        <v>45657.471277126737</v>
      </c>
      <c r="C74" s="5">
        <v>45625.425405815971</v>
      </c>
      <c r="D74" s="5">
        <v>45721.563019748261</v>
      </c>
      <c r="E74" s="6">
        <f>_xlfn.DAYS(Tabelle1[[#This Row],[End-Zeitfenster]],Tabelle1[[#This Row],[Start-Zeitfenster]])</f>
        <v>96</v>
      </c>
      <c r="F74">
        <v>5</v>
      </c>
      <c r="G74">
        <v>38</v>
      </c>
      <c r="H74">
        <v>4</v>
      </c>
      <c r="I74">
        <v>0.41699999999999998</v>
      </c>
      <c r="J74">
        <v>1.0309999999999999</v>
      </c>
      <c r="K74">
        <v>0.77800000000000002</v>
      </c>
      <c r="L74">
        <v>11.912000000000001</v>
      </c>
      <c r="M74">
        <v>3.8</v>
      </c>
      <c r="N74">
        <v>33</v>
      </c>
      <c r="O74">
        <v>660</v>
      </c>
      <c r="P74">
        <v>1</v>
      </c>
      <c r="Q74">
        <v>34</v>
      </c>
      <c r="R74">
        <v>89.474000000000004</v>
      </c>
      <c r="S74">
        <v>2</v>
      </c>
      <c r="T74" t="b">
        <v>1</v>
      </c>
      <c r="U74">
        <v>6</v>
      </c>
      <c r="V74">
        <v>13</v>
      </c>
      <c r="W74">
        <v>7</v>
      </c>
      <c r="X74">
        <v>23.5</v>
      </c>
      <c r="Y74">
        <v>1</v>
      </c>
      <c r="Z74">
        <v>1</v>
      </c>
    </row>
    <row r="75" spans="1:26">
      <c r="A75">
        <v>19</v>
      </c>
      <c r="B75" s="2">
        <v>45208.829078776042</v>
      </c>
      <c r="C75" s="5">
        <v>45144.737336154511</v>
      </c>
      <c r="D75" s="5">
        <v>45240.874950086807</v>
      </c>
      <c r="E75" s="6">
        <f>_xlfn.DAYS(Tabelle1[[#This Row],[End-Zeitfenster]],Tabelle1[[#This Row],[Start-Zeitfenster]])</f>
        <v>96</v>
      </c>
      <c r="F75">
        <v>1</v>
      </c>
      <c r="G75">
        <v>17</v>
      </c>
      <c r="H75">
        <v>5</v>
      </c>
      <c r="I75">
        <v>0.122</v>
      </c>
      <c r="J75">
        <v>0.41899999999999998</v>
      </c>
      <c r="K75">
        <v>0.254</v>
      </c>
      <c r="L75">
        <v>5.3289999999999997</v>
      </c>
      <c r="M75">
        <v>1.7</v>
      </c>
      <c r="N75">
        <v>16</v>
      </c>
      <c r="O75">
        <v>1600</v>
      </c>
      <c r="P75">
        <v>2</v>
      </c>
      <c r="Q75">
        <v>12</v>
      </c>
      <c r="R75">
        <v>70.587999999999994</v>
      </c>
      <c r="S75">
        <v>1</v>
      </c>
      <c r="T75" t="b">
        <v>0</v>
      </c>
      <c r="U75">
        <v>6</v>
      </c>
      <c r="V75">
        <v>13</v>
      </c>
      <c r="W75">
        <v>7</v>
      </c>
      <c r="X75">
        <v>23.5</v>
      </c>
      <c r="Y75">
        <v>1</v>
      </c>
      <c r="Z75">
        <v>2</v>
      </c>
    </row>
    <row r="76" spans="1:26">
      <c r="A76">
        <v>19</v>
      </c>
      <c r="B76" s="2">
        <v>45465.196049262151</v>
      </c>
      <c r="C76" s="5">
        <v>45369.058435329862</v>
      </c>
      <c r="D76" s="5">
        <v>45593.379534505213</v>
      </c>
      <c r="E76" s="6">
        <f>_xlfn.DAYS(Tabelle1[[#This Row],[End-Zeitfenster]],Tabelle1[[#This Row],[Start-Zeitfenster]])</f>
        <v>224</v>
      </c>
      <c r="F76">
        <v>3</v>
      </c>
      <c r="G76">
        <v>15</v>
      </c>
      <c r="H76">
        <v>5</v>
      </c>
      <c r="I76">
        <v>0.29099999999999998</v>
      </c>
      <c r="J76">
        <v>0.98699999999999999</v>
      </c>
      <c r="K76">
        <v>0.63900000000000001</v>
      </c>
      <c r="L76">
        <v>4.702</v>
      </c>
      <c r="M76">
        <v>1.5</v>
      </c>
      <c r="N76">
        <v>12</v>
      </c>
      <c r="O76">
        <v>400</v>
      </c>
      <c r="P76">
        <v>3</v>
      </c>
      <c r="Q76">
        <v>10</v>
      </c>
      <c r="R76">
        <v>66.667000000000002</v>
      </c>
      <c r="S76">
        <v>4</v>
      </c>
      <c r="T76" t="b">
        <v>0</v>
      </c>
      <c r="U76">
        <v>6</v>
      </c>
      <c r="V76">
        <v>13</v>
      </c>
      <c r="W76">
        <v>7</v>
      </c>
      <c r="X76">
        <v>23.5</v>
      </c>
      <c r="Y76">
        <v>1</v>
      </c>
      <c r="Z76">
        <v>3</v>
      </c>
    </row>
    <row r="77" spans="1:26">
      <c r="A77">
        <v>19</v>
      </c>
      <c r="B77" s="2">
        <v>45753.608891059033</v>
      </c>
      <c r="C77" s="5">
        <v>45721.563019748261</v>
      </c>
      <c r="D77" s="5">
        <v>45849.746504991323</v>
      </c>
      <c r="E77" s="6">
        <f>_xlfn.DAYS(Tabelle1[[#This Row],[End-Zeitfenster]],Tabelle1[[#This Row],[Start-Zeitfenster]])</f>
        <v>128</v>
      </c>
      <c r="F77">
        <v>4</v>
      </c>
      <c r="G77">
        <v>15</v>
      </c>
      <c r="H77">
        <v>7</v>
      </c>
      <c r="I77">
        <v>0.77800000000000002</v>
      </c>
      <c r="J77">
        <v>0.68300000000000005</v>
      </c>
      <c r="K77">
        <v>0.79800000000000004</v>
      </c>
      <c r="L77">
        <v>4.702</v>
      </c>
      <c r="M77">
        <v>1.5</v>
      </c>
      <c r="N77">
        <v>11</v>
      </c>
      <c r="O77">
        <v>275</v>
      </c>
      <c r="P77">
        <v>1</v>
      </c>
      <c r="Q77">
        <v>8</v>
      </c>
      <c r="R77">
        <v>53.332999999999998</v>
      </c>
      <c r="S77">
        <v>3</v>
      </c>
      <c r="T77" t="b">
        <v>0</v>
      </c>
      <c r="U77">
        <v>6</v>
      </c>
      <c r="V77">
        <v>13</v>
      </c>
      <c r="W77">
        <v>7</v>
      </c>
      <c r="X77">
        <v>23.5</v>
      </c>
      <c r="Y77">
        <v>1</v>
      </c>
      <c r="Z77">
        <v>4</v>
      </c>
    </row>
    <row r="78" spans="1:26">
      <c r="A78">
        <v>19</v>
      </c>
      <c r="B78" s="2">
        <v>45080.645593532987</v>
      </c>
      <c r="C78" s="5">
        <v>45047.574254340281</v>
      </c>
      <c r="D78" s="5">
        <v>45144.737336154511</v>
      </c>
      <c r="E78" s="6">
        <f>_xlfn.DAYS(Tabelle1[[#This Row],[End-Zeitfenster]],Tabelle1[[#This Row],[Start-Zeitfenster]])</f>
        <v>97</v>
      </c>
      <c r="F78">
        <v>8</v>
      </c>
      <c r="G78">
        <v>13</v>
      </c>
      <c r="H78">
        <v>1</v>
      </c>
      <c r="I78">
        <v>1.3089999999999999</v>
      </c>
      <c r="J78">
        <v>0.78100000000000003</v>
      </c>
      <c r="K78">
        <v>0.122</v>
      </c>
      <c r="L78">
        <v>4.0750000000000002</v>
      </c>
      <c r="M78">
        <v>1.3</v>
      </c>
      <c r="N78">
        <v>5</v>
      </c>
      <c r="O78">
        <v>62.5</v>
      </c>
      <c r="P78">
        <v>1</v>
      </c>
      <c r="Q78">
        <v>12</v>
      </c>
      <c r="R78">
        <v>92.308000000000007</v>
      </c>
      <c r="S78">
        <v>2</v>
      </c>
      <c r="T78" t="b">
        <v>0</v>
      </c>
      <c r="U78">
        <v>6</v>
      </c>
      <c r="V78">
        <v>13</v>
      </c>
      <c r="W78">
        <v>7</v>
      </c>
      <c r="X78">
        <v>23.5</v>
      </c>
      <c r="Y78">
        <v>1</v>
      </c>
      <c r="Z78">
        <v>5</v>
      </c>
    </row>
    <row r="79" spans="1:26">
      <c r="A79">
        <v>19</v>
      </c>
      <c r="B79" s="2">
        <v>45272.920821397573</v>
      </c>
      <c r="C79" s="5">
        <v>45240.874950086807</v>
      </c>
      <c r="D79" s="5">
        <v>45304.966692708331</v>
      </c>
      <c r="E79" s="6">
        <f>_xlfn.DAYS(Tabelle1[[#This Row],[End-Zeitfenster]],Tabelle1[[#This Row],[Start-Zeitfenster]])</f>
        <v>64</v>
      </c>
      <c r="F79">
        <v>5</v>
      </c>
      <c r="G79">
        <v>13</v>
      </c>
      <c r="H79">
        <v>10</v>
      </c>
      <c r="I79">
        <v>0.254</v>
      </c>
      <c r="J79">
        <v>0.95399999999999996</v>
      </c>
      <c r="K79">
        <v>0.38300000000000001</v>
      </c>
      <c r="L79">
        <v>4.0750000000000002</v>
      </c>
      <c r="M79">
        <v>1.3</v>
      </c>
      <c r="N79">
        <v>8</v>
      </c>
      <c r="O79">
        <v>160</v>
      </c>
      <c r="P79">
        <v>1</v>
      </c>
      <c r="Q79">
        <v>3</v>
      </c>
      <c r="R79">
        <v>23.077000000000002</v>
      </c>
      <c r="S79">
        <v>1</v>
      </c>
      <c r="T79" t="b">
        <v>0</v>
      </c>
      <c r="U79">
        <v>6</v>
      </c>
      <c r="V79">
        <v>13</v>
      </c>
      <c r="W79">
        <v>7</v>
      </c>
      <c r="X79">
        <v>23.5</v>
      </c>
      <c r="Y79">
        <v>1</v>
      </c>
      <c r="Z79">
        <v>6</v>
      </c>
    </row>
    <row r="80" spans="1:26">
      <c r="A80">
        <v>19</v>
      </c>
      <c r="B80" s="2">
        <v>45881.792376302081</v>
      </c>
      <c r="C80" s="5">
        <v>45849.746504991323</v>
      </c>
      <c r="D80" s="5">
        <v>45913.838247612854</v>
      </c>
      <c r="E80" s="6">
        <f>_xlfn.DAYS(Tabelle1[[#This Row],[End-Zeitfenster]],Tabelle1[[#This Row],[Start-Zeitfenster]])</f>
        <v>64</v>
      </c>
      <c r="F80">
        <v>7</v>
      </c>
      <c r="G80">
        <v>10</v>
      </c>
      <c r="H80">
        <v>5</v>
      </c>
      <c r="I80">
        <v>0.79800000000000004</v>
      </c>
      <c r="J80">
        <v>0.873</v>
      </c>
      <c r="K80">
        <v>0.92800000000000005</v>
      </c>
      <c r="L80">
        <v>3.1349999999999998</v>
      </c>
      <c r="M80">
        <v>1</v>
      </c>
      <c r="N80">
        <v>3</v>
      </c>
      <c r="O80">
        <v>42.856999999999999</v>
      </c>
      <c r="P80">
        <v>1</v>
      </c>
      <c r="Q80">
        <v>5</v>
      </c>
      <c r="R80">
        <v>50</v>
      </c>
      <c r="S80">
        <v>1</v>
      </c>
      <c r="T80" t="b">
        <v>0</v>
      </c>
      <c r="U80">
        <v>6</v>
      </c>
      <c r="V80">
        <v>13</v>
      </c>
      <c r="W80">
        <v>7</v>
      </c>
      <c r="X80">
        <v>23.5</v>
      </c>
      <c r="Y80">
        <v>1</v>
      </c>
      <c r="Z80">
        <v>7</v>
      </c>
    </row>
    <row r="81" spans="1:26">
      <c r="A81">
        <v>19</v>
      </c>
      <c r="B81" s="2">
        <v>45977.929990234377</v>
      </c>
      <c r="C81" s="5">
        <v>45913.838247612854</v>
      </c>
      <c r="D81" s="5">
        <v>46009.975861545143</v>
      </c>
      <c r="E81" s="6">
        <f>_xlfn.DAYS(Tabelle1[[#This Row],[End-Zeitfenster]],Tabelle1[[#This Row],[Start-Zeitfenster]])</f>
        <v>96</v>
      </c>
      <c r="F81">
        <v>5</v>
      </c>
      <c r="G81">
        <v>7</v>
      </c>
      <c r="H81">
        <v>7</v>
      </c>
      <c r="I81">
        <v>0.92800000000000005</v>
      </c>
      <c r="J81">
        <v>1.0029999999999999</v>
      </c>
      <c r="K81">
        <v>1.643</v>
      </c>
      <c r="L81">
        <v>2.194</v>
      </c>
      <c r="M81">
        <v>0.7</v>
      </c>
      <c r="N81">
        <v>2</v>
      </c>
      <c r="O81">
        <v>40</v>
      </c>
      <c r="P81">
        <v>2</v>
      </c>
      <c r="Q81">
        <v>0</v>
      </c>
      <c r="R81">
        <v>0</v>
      </c>
      <c r="S81">
        <v>1</v>
      </c>
      <c r="T81" t="b">
        <v>0</v>
      </c>
      <c r="U81">
        <v>6</v>
      </c>
      <c r="V81">
        <v>13</v>
      </c>
      <c r="W81">
        <v>7</v>
      </c>
      <c r="X81">
        <v>23.5</v>
      </c>
      <c r="Y81">
        <v>1</v>
      </c>
      <c r="Z81">
        <v>8</v>
      </c>
    </row>
    <row r="82" spans="1:26">
      <c r="A82">
        <v>21</v>
      </c>
      <c r="B82" s="2">
        <v>45433.150177951393</v>
      </c>
      <c r="C82" s="5">
        <v>45369.058435329862</v>
      </c>
      <c r="D82" s="5">
        <v>45465.196049262151</v>
      </c>
      <c r="E82" s="6">
        <f>_xlfn.DAYS(Tabelle1[[#This Row],[End-Zeitfenster]],Tabelle1[[#This Row],[Start-Zeitfenster]])</f>
        <v>96</v>
      </c>
      <c r="F82">
        <v>2</v>
      </c>
      <c r="G82">
        <v>81</v>
      </c>
      <c r="H82">
        <v>4</v>
      </c>
      <c r="I82">
        <v>0.19400000000000001</v>
      </c>
      <c r="J82">
        <v>2.6869999999999998</v>
      </c>
      <c r="K82">
        <v>0.26300000000000001</v>
      </c>
      <c r="L82">
        <v>27.645</v>
      </c>
      <c r="M82">
        <v>18</v>
      </c>
      <c r="N82">
        <v>79</v>
      </c>
      <c r="O82">
        <v>3950</v>
      </c>
      <c r="P82">
        <v>2</v>
      </c>
      <c r="Q82">
        <v>77</v>
      </c>
      <c r="R82">
        <v>95.061999999999998</v>
      </c>
      <c r="S82">
        <v>1</v>
      </c>
      <c r="T82" t="b">
        <v>1</v>
      </c>
      <c r="U82">
        <v>2</v>
      </c>
      <c r="V82">
        <v>10.5</v>
      </c>
      <c r="W82">
        <v>8.5</v>
      </c>
      <c r="X82">
        <v>23.25</v>
      </c>
      <c r="Y82">
        <v>1</v>
      </c>
      <c r="Z82">
        <v>1</v>
      </c>
    </row>
    <row r="83" spans="1:26">
      <c r="A83">
        <v>21</v>
      </c>
      <c r="B83" s="2">
        <v>45625.425405815971</v>
      </c>
      <c r="C83" s="5">
        <v>45593.379534505213</v>
      </c>
      <c r="D83" s="5">
        <v>45721.563019748261</v>
      </c>
      <c r="E83" s="6">
        <f>_xlfn.DAYS(Tabelle1[[#This Row],[End-Zeitfenster]],Tabelle1[[#This Row],[Start-Zeitfenster]])</f>
        <v>128</v>
      </c>
      <c r="F83">
        <v>2</v>
      </c>
      <c r="G83">
        <v>34</v>
      </c>
      <c r="H83">
        <v>2</v>
      </c>
      <c r="I83">
        <v>0.25600000000000001</v>
      </c>
      <c r="J83">
        <v>2.8380000000000001</v>
      </c>
      <c r="K83">
        <v>0.38900000000000001</v>
      </c>
      <c r="L83">
        <v>11.603999999999999</v>
      </c>
      <c r="M83">
        <v>7.556</v>
      </c>
      <c r="N83">
        <v>32</v>
      </c>
      <c r="O83">
        <v>1600</v>
      </c>
      <c r="P83">
        <v>1</v>
      </c>
      <c r="Q83">
        <v>32</v>
      </c>
      <c r="R83">
        <v>94.117999999999995</v>
      </c>
      <c r="S83">
        <v>3</v>
      </c>
      <c r="T83" t="b">
        <v>1</v>
      </c>
      <c r="U83">
        <v>2</v>
      </c>
      <c r="V83">
        <v>10.5</v>
      </c>
      <c r="W83">
        <v>8.5</v>
      </c>
      <c r="X83">
        <v>23.25</v>
      </c>
      <c r="Y83">
        <v>1</v>
      </c>
      <c r="Z83">
        <v>2</v>
      </c>
    </row>
    <row r="84" spans="1:26">
      <c r="A84">
        <v>21</v>
      </c>
      <c r="B84" s="2">
        <v>45208.829078776042</v>
      </c>
      <c r="C84" s="5">
        <v>45144.737336154511</v>
      </c>
      <c r="D84" s="5">
        <v>45272.920821397573</v>
      </c>
      <c r="E84" s="6">
        <f>_xlfn.DAYS(Tabelle1[[#This Row],[End-Zeitfenster]],Tabelle1[[#This Row],[Start-Zeitfenster]])</f>
        <v>128</v>
      </c>
      <c r="F84">
        <v>1</v>
      </c>
      <c r="G84">
        <v>21</v>
      </c>
      <c r="H84">
        <v>2</v>
      </c>
      <c r="I84">
        <v>0.122</v>
      </c>
      <c r="J84">
        <v>0.51700000000000002</v>
      </c>
      <c r="K84">
        <v>0.14699999999999999</v>
      </c>
      <c r="L84">
        <v>7.1669999999999998</v>
      </c>
      <c r="M84">
        <v>4.6669999999999998</v>
      </c>
      <c r="N84">
        <v>20</v>
      </c>
      <c r="O84">
        <v>2000</v>
      </c>
      <c r="P84">
        <v>1</v>
      </c>
      <c r="Q84">
        <v>19</v>
      </c>
      <c r="R84">
        <v>90.475999999999999</v>
      </c>
      <c r="S84">
        <v>2</v>
      </c>
      <c r="T84" t="b">
        <v>0</v>
      </c>
      <c r="U84">
        <v>2</v>
      </c>
      <c r="V84">
        <v>10.5</v>
      </c>
      <c r="W84">
        <v>8.5</v>
      </c>
      <c r="X84">
        <v>23.25</v>
      </c>
      <c r="Y84">
        <v>1</v>
      </c>
      <c r="Z84">
        <v>3</v>
      </c>
    </row>
    <row r="85" spans="1:26">
      <c r="A85">
        <v>21</v>
      </c>
      <c r="B85" s="2">
        <v>45497.241920572917</v>
      </c>
      <c r="C85" s="5">
        <v>45465.196049262151</v>
      </c>
      <c r="D85" s="5">
        <v>45561.333663194448</v>
      </c>
      <c r="E85" s="6">
        <f>_xlfn.DAYS(Tabelle1[[#This Row],[End-Zeitfenster]],Tabelle1[[#This Row],[Start-Zeitfenster]])</f>
        <v>96</v>
      </c>
      <c r="F85">
        <v>4</v>
      </c>
      <c r="G85">
        <v>20</v>
      </c>
      <c r="H85">
        <v>2</v>
      </c>
      <c r="I85">
        <v>0.26300000000000001</v>
      </c>
      <c r="J85">
        <v>1.4259999999999999</v>
      </c>
      <c r="K85">
        <v>0.17499999999999999</v>
      </c>
      <c r="L85">
        <v>6.8259999999999996</v>
      </c>
      <c r="M85">
        <v>4.444</v>
      </c>
      <c r="N85">
        <v>16</v>
      </c>
      <c r="O85">
        <v>400</v>
      </c>
      <c r="P85">
        <v>1</v>
      </c>
      <c r="Q85">
        <v>18</v>
      </c>
      <c r="R85">
        <v>90</v>
      </c>
      <c r="S85">
        <v>2</v>
      </c>
      <c r="T85" t="b">
        <v>0</v>
      </c>
      <c r="U85">
        <v>2</v>
      </c>
      <c r="V85">
        <v>10.5</v>
      </c>
      <c r="W85">
        <v>8.5</v>
      </c>
      <c r="X85">
        <v>23.25</v>
      </c>
      <c r="Y85">
        <v>1</v>
      </c>
      <c r="Z85">
        <v>4</v>
      </c>
    </row>
    <row r="86" spans="1:26">
      <c r="A86">
        <v>21</v>
      </c>
      <c r="B86" s="2">
        <v>45977.929990234377</v>
      </c>
      <c r="C86" s="5">
        <v>45913.838247612854</v>
      </c>
      <c r="D86" s="5">
        <v>46009.975861545143</v>
      </c>
      <c r="E86" s="6">
        <f>_xlfn.DAYS(Tabelle1[[#This Row],[End-Zeitfenster]],Tabelle1[[#This Row],[Start-Zeitfenster]])</f>
        <v>96</v>
      </c>
      <c r="F86">
        <v>1</v>
      </c>
      <c r="G86">
        <v>12</v>
      </c>
      <c r="H86">
        <v>10</v>
      </c>
      <c r="I86">
        <v>0.186</v>
      </c>
      <c r="J86">
        <v>1.7190000000000001</v>
      </c>
      <c r="K86">
        <v>2.347</v>
      </c>
      <c r="L86">
        <v>4.0960000000000001</v>
      </c>
      <c r="M86">
        <v>2.6669999999999998</v>
      </c>
      <c r="N86">
        <v>11</v>
      </c>
      <c r="O86">
        <v>1100</v>
      </c>
      <c r="P86">
        <v>2</v>
      </c>
      <c r="Q86">
        <v>2</v>
      </c>
      <c r="R86">
        <v>16.667000000000002</v>
      </c>
      <c r="S86">
        <v>1</v>
      </c>
      <c r="T86" t="b">
        <v>0</v>
      </c>
      <c r="U86">
        <v>2</v>
      </c>
      <c r="V86">
        <v>10.5</v>
      </c>
      <c r="W86">
        <v>8.5</v>
      </c>
      <c r="X86">
        <v>23.25</v>
      </c>
      <c r="Y86">
        <v>1</v>
      </c>
      <c r="Z86">
        <v>5</v>
      </c>
    </row>
    <row r="87" spans="1:26">
      <c r="A87">
        <v>21</v>
      </c>
      <c r="B87" s="2">
        <v>45337.012564019104</v>
      </c>
      <c r="C87" s="5">
        <v>45272.920821397573</v>
      </c>
      <c r="D87" s="5">
        <v>45369.058435329862</v>
      </c>
      <c r="E87" s="6">
        <f>_xlfn.DAYS(Tabelle1[[#This Row],[End-Zeitfenster]],Tabelle1[[#This Row],[Start-Zeitfenster]])</f>
        <v>97</v>
      </c>
      <c r="F87">
        <v>2</v>
      </c>
      <c r="G87">
        <v>7</v>
      </c>
      <c r="H87">
        <v>2</v>
      </c>
      <c r="I87">
        <v>0.14699999999999999</v>
      </c>
      <c r="J87">
        <v>0.44400000000000001</v>
      </c>
      <c r="K87">
        <v>0.19400000000000001</v>
      </c>
      <c r="L87">
        <v>2.3889999999999998</v>
      </c>
      <c r="M87">
        <v>1.556</v>
      </c>
      <c r="N87">
        <v>5</v>
      </c>
      <c r="O87">
        <v>250</v>
      </c>
      <c r="P87">
        <v>2</v>
      </c>
      <c r="Q87">
        <v>5</v>
      </c>
      <c r="R87">
        <v>71.429000000000002</v>
      </c>
      <c r="S87">
        <v>1</v>
      </c>
      <c r="T87" t="b">
        <v>0</v>
      </c>
      <c r="U87">
        <v>2</v>
      </c>
      <c r="V87">
        <v>10.5</v>
      </c>
      <c r="W87">
        <v>8.5</v>
      </c>
      <c r="X87">
        <v>23.25</v>
      </c>
      <c r="Y87">
        <v>1</v>
      </c>
      <c r="Z87">
        <v>6</v>
      </c>
    </row>
    <row r="88" spans="1:26">
      <c r="A88">
        <v>21</v>
      </c>
      <c r="B88" s="2">
        <v>45753.608891059033</v>
      </c>
      <c r="C88" s="5">
        <v>45721.563019748261</v>
      </c>
      <c r="D88" s="5">
        <v>45849.746504991323</v>
      </c>
      <c r="E88" s="6">
        <f>_xlfn.DAYS(Tabelle1[[#This Row],[End-Zeitfenster]],Tabelle1[[#This Row],[Start-Zeitfenster]])</f>
        <v>128</v>
      </c>
      <c r="F88">
        <v>2</v>
      </c>
      <c r="G88">
        <v>6</v>
      </c>
      <c r="H88">
        <v>2</v>
      </c>
      <c r="I88">
        <v>0.38900000000000001</v>
      </c>
      <c r="J88">
        <v>0.27300000000000002</v>
      </c>
      <c r="K88">
        <v>0.22800000000000001</v>
      </c>
      <c r="L88">
        <v>2.048</v>
      </c>
      <c r="M88">
        <v>1.333</v>
      </c>
      <c r="N88">
        <v>4</v>
      </c>
      <c r="O88">
        <v>200</v>
      </c>
      <c r="P88">
        <v>1</v>
      </c>
      <c r="Q88">
        <v>4</v>
      </c>
      <c r="R88">
        <v>66.667000000000002</v>
      </c>
      <c r="S88">
        <v>2</v>
      </c>
      <c r="T88" t="b">
        <v>0</v>
      </c>
      <c r="U88">
        <v>2</v>
      </c>
      <c r="V88">
        <v>10.5</v>
      </c>
      <c r="W88">
        <v>8.5</v>
      </c>
      <c r="X88">
        <v>23.25</v>
      </c>
      <c r="Y88">
        <v>1</v>
      </c>
      <c r="Z88">
        <v>7</v>
      </c>
    </row>
    <row r="89" spans="1:26">
      <c r="A89">
        <v>21</v>
      </c>
      <c r="B89" s="2">
        <v>45112.691464843752</v>
      </c>
      <c r="C89" s="5">
        <v>45080.645593532987</v>
      </c>
      <c r="D89" s="5">
        <v>45144.737336154511</v>
      </c>
      <c r="E89" s="6">
        <f>_xlfn.DAYS(Tabelle1[[#This Row],[End-Zeitfenster]],Tabelle1[[#This Row],[Start-Zeitfenster]])</f>
        <v>64</v>
      </c>
      <c r="F89">
        <v>2</v>
      </c>
      <c r="G89">
        <v>3</v>
      </c>
      <c r="H89">
        <v>1</v>
      </c>
      <c r="I89">
        <v>0.12</v>
      </c>
      <c r="J89">
        <v>0.27</v>
      </c>
      <c r="K89">
        <v>0.122</v>
      </c>
      <c r="L89">
        <v>1.024</v>
      </c>
      <c r="M89">
        <v>0.66700000000000004</v>
      </c>
      <c r="N89">
        <v>1</v>
      </c>
      <c r="O89">
        <v>50</v>
      </c>
      <c r="P89">
        <v>1</v>
      </c>
      <c r="Q89">
        <v>2</v>
      </c>
      <c r="R89">
        <v>66.667000000000002</v>
      </c>
      <c r="S89">
        <v>1</v>
      </c>
      <c r="T89" t="b">
        <v>0</v>
      </c>
      <c r="U89">
        <v>2</v>
      </c>
      <c r="V89">
        <v>10.5</v>
      </c>
      <c r="W89">
        <v>8.5</v>
      </c>
      <c r="X89">
        <v>23.25</v>
      </c>
      <c r="Y89">
        <v>1</v>
      </c>
      <c r="Z89">
        <v>8</v>
      </c>
    </row>
    <row r="90" spans="1:26">
      <c r="A90">
        <v>21</v>
      </c>
      <c r="B90" s="2">
        <v>45881.792376302081</v>
      </c>
      <c r="C90" s="5">
        <v>45849.746504991323</v>
      </c>
      <c r="D90" s="5">
        <v>45913.838247612854</v>
      </c>
      <c r="E90" s="6">
        <f>_xlfn.DAYS(Tabelle1[[#This Row],[End-Zeitfenster]],Tabelle1[[#This Row],[Start-Zeitfenster]])</f>
        <v>64</v>
      </c>
      <c r="F90">
        <v>2</v>
      </c>
      <c r="G90">
        <v>3</v>
      </c>
      <c r="H90">
        <v>1</v>
      </c>
      <c r="I90">
        <v>0.22800000000000001</v>
      </c>
      <c r="J90">
        <v>0.26200000000000001</v>
      </c>
      <c r="K90">
        <v>0.186</v>
      </c>
      <c r="L90">
        <v>1.024</v>
      </c>
      <c r="M90">
        <v>0.66700000000000004</v>
      </c>
      <c r="N90">
        <v>1</v>
      </c>
      <c r="O90">
        <v>50</v>
      </c>
      <c r="P90">
        <v>1</v>
      </c>
      <c r="Q90">
        <v>2</v>
      </c>
      <c r="R90">
        <v>66.667000000000002</v>
      </c>
      <c r="S90">
        <v>1</v>
      </c>
      <c r="T90" t="b">
        <v>0</v>
      </c>
      <c r="U90">
        <v>2</v>
      </c>
      <c r="V90">
        <v>10.5</v>
      </c>
      <c r="W90">
        <v>8.5</v>
      </c>
      <c r="X90">
        <v>23.25</v>
      </c>
      <c r="Y90">
        <v>1</v>
      </c>
      <c r="Z90">
        <v>9</v>
      </c>
    </row>
    <row r="91" spans="1:26">
      <c r="A91">
        <v>25</v>
      </c>
      <c r="B91" s="2">
        <v>45433.150177951393</v>
      </c>
      <c r="C91" s="5">
        <v>45369.058435329862</v>
      </c>
      <c r="D91" s="5">
        <v>45465.196049262151</v>
      </c>
      <c r="E91" s="6">
        <f>_xlfn.DAYS(Tabelle1[[#This Row],[End-Zeitfenster]],Tabelle1[[#This Row],[Start-Zeitfenster]])</f>
        <v>96</v>
      </c>
      <c r="F91">
        <v>2</v>
      </c>
      <c r="G91">
        <v>26</v>
      </c>
      <c r="H91">
        <v>7</v>
      </c>
      <c r="I91">
        <v>0.19400000000000001</v>
      </c>
      <c r="J91">
        <v>0.86199999999999999</v>
      </c>
      <c r="K91">
        <v>0.46100000000000002</v>
      </c>
      <c r="L91">
        <v>10.833</v>
      </c>
      <c r="M91">
        <v>4.3330000000000002</v>
      </c>
      <c r="N91">
        <v>24</v>
      </c>
      <c r="O91">
        <v>1200</v>
      </c>
      <c r="P91">
        <v>2</v>
      </c>
      <c r="Q91">
        <v>19</v>
      </c>
      <c r="R91">
        <v>73.076999999999998</v>
      </c>
      <c r="S91">
        <v>1</v>
      </c>
      <c r="T91" t="b">
        <v>1</v>
      </c>
      <c r="U91">
        <v>4.5</v>
      </c>
      <c r="V91">
        <v>10</v>
      </c>
      <c r="W91">
        <v>5.5</v>
      </c>
      <c r="X91">
        <v>18.25</v>
      </c>
      <c r="Y91">
        <v>1</v>
      </c>
      <c r="Z91">
        <v>1</v>
      </c>
    </row>
    <row r="92" spans="1:26">
      <c r="A92">
        <v>25</v>
      </c>
      <c r="B92" s="2">
        <v>45689.517148437502</v>
      </c>
      <c r="C92" s="5">
        <v>45593.379534505213</v>
      </c>
      <c r="D92" s="5">
        <v>45721.563019748261</v>
      </c>
      <c r="E92" s="6">
        <f>_xlfn.DAYS(Tabelle1[[#This Row],[End-Zeitfenster]],Tabelle1[[#This Row],[Start-Zeitfenster]])</f>
        <v>128</v>
      </c>
      <c r="F92">
        <v>5</v>
      </c>
      <c r="G92">
        <v>20</v>
      </c>
      <c r="H92">
        <v>3</v>
      </c>
      <c r="I92">
        <v>0.63900000000000001</v>
      </c>
      <c r="J92">
        <v>0.71599999999999997</v>
      </c>
      <c r="K92">
        <v>0.58399999999999996</v>
      </c>
      <c r="L92">
        <v>8.3330000000000002</v>
      </c>
      <c r="M92">
        <v>3.3330000000000002</v>
      </c>
      <c r="N92">
        <v>15</v>
      </c>
      <c r="O92">
        <v>300</v>
      </c>
      <c r="P92">
        <v>3</v>
      </c>
      <c r="Q92">
        <v>17</v>
      </c>
      <c r="R92">
        <v>85</v>
      </c>
      <c r="S92">
        <v>1</v>
      </c>
      <c r="T92" t="b">
        <v>1</v>
      </c>
      <c r="U92">
        <v>4.5</v>
      </c>
      <c r="V92">
        <v>10</v>
      </c>
      <c r="W92">
        <v>5.5</v>
      </c>
      <c r="X92">
        <v>18.25</v>
      </c>
      <c r="Y92">
        <v>1</v>
      </c>
      <c r="Z92">
        <v>2</v>
      </c>
    </row>
    <row r="93" spans="1:26">
      <c r="A93">
        <v>25</v>
      </c>
      <c r="B93" s="2">
        <v>45753.608891059033</v>
      </c>
      <c r="C93" s="5">
        <v>45721.563019748261</v>
      </c>
      <c r="D93" s="5">
        <v>45817.700633680557</v>
      </c>
      <c r="E93" s="6">
        <f>_xlfn.DAYS(Tabelle1[[#This Row],[End-Zeitfenster]],Tabelle1[[#This Row],[Start-Zeitfenster]])</f>
        <v>96</v>
      </c>
      <c r="F93">
        <v>3</v>
      </c>
      <c r="G93">
        <v>13</v>
      </c>
      <c r="H93">
        <v>1</v>
      </c>
      <c r="I93">
        <v>0.58399999999999996</v>
      </c>
      <c r="J93">
        <v>0.59199999999999997</v>
      </c>
      <c r="K93">
        <v>0.14499999999999999</v>
      </c>
      <c r="L93">
        <v>5.4169999999999998</v>
      </c>
      <c r="M93">
        <v>2.1669999999999998</v>
      </c>
      <c r="N93">
        <v>10</v>
      </c>
      <c r="O93">
        <v>333.33300000000003</v>
      </c>
      <c r="P93">
        <v>1</v>
      </c>
      <c r="Q93">
        <v>12</v>
      </c>
      <c r="R93">
        <v>92.308000000000007</v>
      </c>
      <c r="S93">
        <v>2</v>
      </c>
      <c r="T93" t="b">
        <v>0</v>
      </c>
      <c r="U93">
        <v>4.5</v>
      </c>
      <c r="V93">
        <v>10</v>
      </c>
      <c r="W93">
        <v>5.5</v>
      </c>
      <c r="X93">
        <v>18.25</v>
      </c>
      <c r="Y93">
        <v>1</v>
      </c>
      <c r="Z93">
        <v>3</v>
      </c>
    </row>
    <row r="94" spans="1:26">
      <c r="A94">
        <v>25</v>
      </c>
      <c r="B94" s="2">
        <v>45208.829078776042</v>
      </c>
      <c r="C94" s="5">
        <v>45144.737336154511</v>
      </c>
      <c r="D94" s="5">
        <v>45240.874950086807</v>
      </c>
      <c r="E94" s="6">
        <f>_xlfn.DAYS(Tabelle1[[#This Row],[End-Zeitfenster]],Tabelle1[[#This Row],[Start-Zeitfenster]])</f>
        <v>96</v>
      </c>
      <c r="F94">
        <v>4</v>
      </c>
      <c r="G94">
        <v>12</v>
      </c>
      <c r="H94">
        <v>5</v>
      </c>
      <c r="I94">
        <v>0.48899999999999999</v>
      </c>
      <c r="J94">
        <v>0.29599999999999999</v>
      </c>
      <c r="K94">
        <v>0.254</v>
      </c>
      <c r="L94">
        <v>5</v>
      </c>
      <c r="M94">
        <v>2</v>
      </c>
      <c r="N94">
        <v>8</v>
      </c>
      <c r="O94">
        <v>200</v>
      </c>
      <c r="P94">
        <v>2</v>
      </c>
      <c r="Q94">
        <v>7</v>
      </c>
      <c r="R94">
        <v>58.332999999999998</v>
      </c>
      <c r="S94">
        <v>1</v>
      </c>
      <c r="T94" t="b">
        <v>0</v>
      </c>
      <c r="U94">
        <v>4.5</v>
      </c>
      <c r="V94">
        <v>10</v>
      </c>
      <c r="W94">
        <v>5.5</v>
      </c>
      <c r="X94">
        <v>18.25</v>
      </c>
      <c r="Y94">
        <v>1</v>
      </c>
      <c r="Z94">
        <v>4</v>
      </c>
    </row>
    <row r="95" spans="1:26">
      <c r="A95">
        <v>25</v>
      </c>
      <c r="B95" s="2">
        <v>45080.645593532987</v>
      </c>
      <c r="C95" s="5">
        <v>45047.574254340281</v>
      </c>
      <c r="D95" s="5">
        <v>45112.691464843752</v>
      </c>
      <c r="E95" s="6">
        <f>_xlfn.DAYS(Tabelle1[[#This Row],[End-Zeitfenster]],Tabelle1[[#This Row],[Start-Zeitfenster]])</f>
        <v>65</v>
      </c>
      <c r="F95">
        <v>5</v>
      </c>
      <c r="G95">
        <v>11</v>
      </c>
      <c r="H95">
        <v>4</v>
      </c>
      <c r="I95">
        <v>0.81799999999999995</v>
      </c>
      <c r="J95">
        <v>0.66100000000000003</v>
      </c>
      <c r="K95">
        <v>0.36</v>
      </c>
      <c r="L95">
        <v>4.5830000000000002</v>
      </c>
      <c r="M95">
        <v>1.833</v>
      </c>
      <c r="N95">
        <v>6</v>
      </c>
      <c r="O95">
        <v>120</v>
      </c>
      <c r="P95">
        <v>1</v>
      </c>
      <c r="Q95">
        <v>7</v>
      </c>
      <c r="R95">
        <v>63.636000000000003</v>
      </c>
      <c r="S95">
        <v>1</v>
      </c>
      <c r="T95" t="b">
        <v>0</v>
      </c>
      <c r="U95">
        <v>4.5</v>
      </c>
      <c r="V95">
        <v>10</v>
      </c>
      <c r="W95">
        <v>5.5</v>
      </c>
      <c r="X95">
        <v>18.25</v>
      </c>
      <c r="Y95">
        <v>1</v>
      </c>
      <c r="Z95">
        <v>5</v>
      </c>
    </row>
    <row r="96" spans="1:26">
      <c r="A96">
        <v>25</v>
      </c>
      <c r="B96" s="2">
        <v>45304.966692708331</v>
      </c>
      <c r="C96" s="5">
        <v>45240.874950086807</v>
      </c>
      <c r="D96" s="5">
        <v>45369.058435329862</v>
      </c>
      <c r="E96" s="6">
        <f>_xlfn.DAYS(Tabelle1[[#This Row],[End-Zeitfenster]],Tabelle1[[#This Row],[Start-Zeitfenster]])</f>
        <v>129</v>
      </c>
      <c r="F96">
        <v>5</v>
      </c>
      <c r="G96">
        <v>11</v>
      </c>
      <c r="H96">
        <v>2</v>
      </c>
      <c r="I96">
        <v>0.254</v>
      </c>
      <c r="J96">
        <v>0.42099999999999999</v>
      </c>
      <c r="K96">
        <v>0.19400000000000001</v>
      </c>
      <c r="L96">
        <v>4.5830000000000002</v>
      </c>
      <c r="M96">
        <v>1.833</v>
      </c>
      <c r="N96">
        <v>6</v>
      </c>
      <c r="O96">
        <v>120</v>
      </c>
      <c r="P96">
        <v>2</v>
      </c>
      <c r="Q96">
        <v>9</v>
      </c>
      <c r="R96">
        <v>81.817999999999998</v>
      </c>
      <c r="S96">
        <v>2</v>
      </c>
      <c r="T96" t="b">
        <v>0</v>
      </c>
      <c r="U96">
        <v>4.5</v>
      </c>
      <c r="V96">
        <v>10</v>
      </c>
      <c r="W96">
        <v>5.5</v>
      </c>
      <c r="X96">
        <v>18.25</v>
      </c>
      <c r="Y96">
        <v>1</v>
      </c>
      <c r="Z96">
        <v>6</v>
      </c>
    </row>
    <row r="97" spans="1:26">
      <c r="A97">
        <v>25</v>
      </c>
      <c r="B97" s="2">
        <v>45881.792376302081</v>
      </c>
      <c r="C97" s="5">
        <v>45817.700633680557</v>
      </c>
      <c r="D97" s="5">
        <v>45913.838247612854</v>
      </c>
      <c r="E97" s="6">
        <f>_xlfn.DAYS(Tabelle1[[#This Row],[End-Zeitfenster]],Tabelle1[[#This Row],[Start-Zeitfenster]])</f>
        <v>96</v>
      </c>
      <c r="F97">
        <v>1</v>
      </c>
      <c r="G97">
        <v>11</v>
      </c>
      <c r="H97">
        <v>2</v>
      </c>
      <c r="I97">
        <v>0.14499999999999999</v>
      </c>
      <c r="J97">
        <v>0.96099999999999997</v>
      </c>
      <c r="K97">
        <v>0.371</v>
      </c>
      <c r="L97">
        <v>4.5830000000000002</v>
      </c>
      <c r="M97">
        <v>1.833</v>
      </c>
      <c r="N97">
        <v>10</v>
      </c>
      <c r="O97">
        <v>1000</v>
      </c>
      <c r="P97">
        <v>2</v>
      </c>
      <c r="Q97">
        <v>9</v>
      </c>
      <c r="R97">
        <v>81.817999999999998</v>
      </c>
      <c r="S97">
        <v>1</v>
      </c>
      <c r="T97" t="b">
        <v>0</v>
      </c>
      <c r="U97">
        <v>4.5</v>
      </c>
      <c r="V97">
        <v>10</v>
      </c>
      <c r="W97">
        <v>5.5</v>
      </c>
      <c r="X97">
        <v>18.25</v>
      </c>
      <c r="Y97">
        <v>1</v>
      </c>
      <c r="Z97">
        <v>7</v>
      </c>
    </row>
    <row r="98" spans="1:26">
      <c r="A98">
        <v>25</v>
      </c>
      <c r="B98" s="2">
        <v>45497.241920572917</v>
      </c>
      <c r="C98" s="5">
        <v>45465.196049262151</v>
      </c>
      <c r="D98" s="5">
        <v>45529.287791883682</v>
      </c>
      <c r="E98" s="6">
        <f>_xlfn.DAYS(Tabelle1[[#This Row],[End-Zeitfenster]],Tabelle1[[#This Row],[Start-Zeitfenster]])</f>
        <v>64</v>
      </c>
      <c r="F98">
        <v>7</v>
      </c>
      <c r="G98">
        <v>8</v>
      </c>
      <c r="H98">
        <v>3</v>
      </c>
      <c r="I98">
        <v>0.46100000000000002</v>
      </c>
      <c r="J98">
        <v>0.56999999999999995</v>
      </c>
      <c r="K98">
        <v>0.27400000000000002</v>
      </c>
      <c r="L98">
        <v>3.3330000000000002</v>
      </c>
      <c r="M98">
        <v>1.333</v>
      </c>
      <c r="N98">
        <v>1</v>
      </c>
      <c r="O98">
        <v>14.286</v>
      </c>
      <c r="P98">
        <v>1</v>
      </c>
      <c r="Q98">
        <v>5</v>
      </c>
      <c r="R98">
        <v>62.5</v>
      </c>
      <c r="S98">
        <v>1</v>
      </c>
      <c r="T98" t="b">
        <v>0</v>
      </c>
      <c r="U98">
        <v>4.5</v>
      </c>
      <c r="V98">
        <v>10</v>
      </c>
      <c r="W98">
        <v>5.5</v>
      </c>
      <c r="X98">
        <v>18.25</v>
      </c>
      <c r="Y98">
        <v>1</v>
      </c>
      <c r="Z98">
        <v>8</v>
      </c>
    </row>
    <row r="99" spans="1:26">
      <c r="A99">
        <v>25</v>
      </c>
      <c r="B99" s="2">
        <v>45977.929990234377</v>
      </c>
      <c r="C99" s="5">
        <v>45913.838247612854</v>
      </c>
      <c r="D99" s="5">
        <v>46009.975861545143</v>
      </c>
      <c r="E99" s="6">
        <f>_xlfn.DAYS(Tabelle1[[#This Row],[End-Zeitfenster]],Tabelle1[[#This Row],[Start-Zeitfenster]])</f>
        <v>96</v>
      </c>
      <c r="F99">
        <v>2</v>
      </c>
      <c r="G99">
        <v>6</v>
      </c>
      <c r="H99">
        <v>6</v>
      </c>
      <c r="I99">
        <v>0.371</v>
      </c>
      <c r="J99">
        <v>0.86</v>
      </c>
      <c r="K99">
        <v>1.4079999999999999</v>
      </c>
      <c r="L99">
        <v>2.5</v>
      </c>
      <c r="M99">
        <v>1</v>
      </c>
      <c r="N99">
        <v>4</v>
      </c>
      <c r="O99">
        <v>200</v>
      </c>
      <c r="P99">
        <v>2</v>
      </c>
      <c r="Q99">
        <v>0</v>
      </c>
      <c r="R99">
        <v>0</v>
      </c>
      <c r="S99">
        <v>1</v>
      </c>
      <c r="T99" t="b">
        <v>0</v>
      </c>
      <c r="U99">
        <v>4.5</v>
      </c>
      <c r="V99">
        <v>10</v>
      </c>
      <c r="W99">
        <v>5.5</v>
      </c>
      <c r="X99">
        <v>18.25</v>
      </c>
      <c r="Y99">
        <v>1</v>
      </c>
      <c r="Z99">
        <v>9</v>
      </c>
    </row>
    <row r="100" spans="1:26">
      <c r="A100">
        <v>25</v>
      </c>
      <c r="B100" s="2">
        <v>45561.333663194448</v>
      </c>
      <c r="C100" s="5">
        <v>45529.287791883682</v>
      </c>
      <c r="D100" s="5">
        <v>45593.379534505213</v>
      </c>
      <c r="E100" s="6">
        <f>_xlfn.DAYS(Tabelle1[[#This Row],[End-Zeitfenster]],Tabelle1[[#This Row],[Start-Zeitfenster]])</f>
        <v>64</v>
      </c>
      <c r="F100">
        <v>3</v>
      </c>
      <c r="G100">
        <v>5</v>
      </c>
      <c r="H100">
        <v>5</v>
      </c>
      <c r="I100">
        <v>0.27400000000000002</v>
      </c>
      <c r="J100">
        <v>0.438</v>
      </c>
      <c r="K100">
        <v>0.63900000000000001</v>
      </c>
      <c r="L100">
        <v>2.0830000000000002</v>
      </c>
      <c r="M100">
        <v>0.83299999999999996</v>
      </c>
      <c r="N100">
        <v>2</v>
      </c>
      <c r="O100">
        <v>66.667000000000002</v>
      </c>
      <c r="P100">
        <v>1</v>
      </c>
      <c r="Q100">
        <v>0</v>
      </c>
      <c r="R100">
        <v>0</v>
      </c>
      <c r="S100">
        <v>1</v>
      </c>
      <c r="T100" t="b">
        <v>0</v>
      </c>
      <c r="U100">
        <v>4.5</v>
      </c>
      <c r="V100">
        <v>10</v>
      </c>
      <c r="W100">
        <v>5.5</v>
      </c>
      <c r="X100">
        <v>18.25</v>
      </c>
      <c r="Y100">
        <v>1</v>
      </c>
      <c r="Z100">
        <v>10</v>
      </c>
    </row>
    <row r="101" spans="1:26">
      <c r="A101">
        <v>26</v>
      </c>
      <c r="B101" s="2">
        <v>45208.829078776042</v>
      </c>
      <c r="C101" s="5">
        <v>45144.737336154511</v>
      </c>
      <c r="D101" s="5">
        <v>45240.874950086807</v>
      </c>
      <c r="E101" s="6">
        <f>_xlfn.DAYS(Tabelle1[[#This Row],[End-Zeitfenster]],Tabelle1[[#This Row],[Start-Zeitfenster]])</f>
        <v>96</v>
      </c>
      <c r="F101">
        <v>5</v>
      </c>
      <c r="G101">
        <v>30</v>
      </c>
      <c r="H101">
        <v>6</v>
      </c>
      <c r="I101">
        <v>0.61099999999999999</v>
      </c>
      <c r="J101">
        <v>0.73899999999999999</v>
      </c>
      <c r="K101">
        <v>0.30499999999999999</v>
      </c>
      <c r="L101">
        <v>12.657999999999999</v>
      </c>
      <c r="M101">
        <v>5</v>
      </c>
      <c r="N101">
        <v>25</v>
      </c>
      <c r="O101">
        <v>500</v>
      </c>
      <c r="P101">
        <v>2</v>
      </c>
      <c r="Q101">
        <v>24</v>
      </c>
      <c r="R101">
        <v>80</v>
      </c>
      <c r="S101">
        <v>1</v>
      </c>
      <c r="T101" t="b">
        <v>1</v>
      </c>
      <c r="U101">
        <v>3</v>
      </c>
      <c r="V101">
        <v>10.5</v>
      </c>
      <c r="W101">
        <v>7.5</v>
      </c>
      <c r="X101">
        <v>21.75</v>
      </c>
      <c r="Y101">
        <v>1</v>
      </c>
      <c r="Z101">
        <v>1</v>
      </c>
    </row>
    <row r="102" spans="1:26">
      <c r="A102">
        <v>26</v>
      </c>
      <c r="B102" s="2">
        <v>45433.150177951393</v>
      </c>
      <c r="C102" s="5">
        <v>45401.104306640627</v>
      </c>
      <c r="D102" s="5">
        <v>45465.196049262151</v>
      </c>
      <c r="E102" s="6">
        <f>_xlfn.DAYS(Tabelle1[[#This Row],[End-Zeitfenster]],Tabelle1[[#This Row],[Start-Zeitfenster]])</f>
        <v>64</v>
      </c>
      <c r="F102">
        <v>7</v>
      </c>
      <c r="G102">
        <v>16</v>
      </c>
      <c r="H102">
        <v>2</v>
      </c>
      <c r="I102">
        <v>0.36399999999999999</v>
      </c>
      <c r="J102">
        <v>0.53100000000000003</v>
      </c>
      <c r="K102">
        <v>0.13200000000000001</v>
      </c>
      <c r="L102">
        <v>6.7510000000000003</v>
      </c>
      <c r="M102">
        <v>2.6669999999999998</v>
      </c>
      <c r="N102">
        <v>9</v>
      </c>
      <c r="O102">
        <v>128.571</v>
      </c>
      <c r="P102">
        <v>1</v>
      </c>
      <c r="Q102">
        <v>14</v>
      </c>
      <c r="R102">
        <v>87.5</v>
      </c>
      <c r="S102">
        <v>1</v>
      </c>
      <c r="T102" t="b">
        <v>0</v>
      </c>
      <c r="U102">
        <v>3</v>
      </c>
      <c r="V102">
        <v>10.5</v>
      </c>
      <c r="W102">
        <v>7.5</v>
      </c>
      <c r="X102">
        <v>21.75</v>
      </c>
      <c r="Y102">
        <v>1</v>
      </c>
      <c r="Z102">
        <v>2</v>
      </c>
    </row>
    <row r="103" spans="1:26">
      <c r="A103">
        <v>26</v>
      </c>
      <c r="B103" s="2">
        <v>45689.517148437502</v>
      </c>
      <c r="C103" s="5">
        <v>45657.471277126737</v>
      </c>
      <c r="D103" s="5">
        <v>45721.563019748261</v>
      </c>
      <c r="E103" s="6">
        <f>_xlfn.DAYS(Tabelle1[[#This Row],[End-Zeitfenster]],Tabelle1[[#This Row],[Start-Zeitfenster]])</f>
        <v>64</v>
      </c>
      <c r="F103">
        <v>8</v>
      </c>
      <c r="G103">
        <v>16</v>
      </c>
      <c r="H103">
        <v>3</v>
      </c>
      <c r="I103">
        <v>0.217</v>
      </c>
      <c r="J103">
        <v>0.57299999999999995</v>
      </c>
      <c r="K103">
        <v>0.58399999999999996</v>
      </c>
      <c r="L103">
        <v>6.7510000000000003</v>
      </c>
      <c r="M103">
        <v>2.6669999999999998</v>
      </c>
      <c r="N103">
        <v>8</v>
      </c>
      <c r="O103">
        <v>100</v>
      </c>
      <c r="P103">
        <v>1</v>
      </c>
      <c r="Q103">
        <v>13</v>
      </c>
      <c r="R103">
        <v>81.25</v>
      </c>
      <c r="S103">
        <v>1</v>
      </c>
      <c r="T103" t="b">
        <v>0</v>
      </c>
      <c r="U103">
        <v>3</v>
      </c>
      <c r="V103">
        <v>10.5</v>
      </c>
      <c r="W103">
        <v>7.5</v>
      </c>
      <c r="X103">
        <v>21.75</v>
      </c>
      <c r="Y103">
        <v>1</v>
      </c>
      <c r="Z103">
        <v>3</v>
      </c>
    </row>
    <row r="104" spans="1:26">
      <c r="A104">
        <v>26</v>
      </c>
      <c r="B104" s="2">
        <v>45080.645593532987</v>
      </c>
      <c r="C104" s="5">
        <v>45047.574254340281</v>
      </c>
      <c r="D104" s="5">
        <v>45144.737336154511</v>
      </c>
      <c r="E104" s="6">
        <f>_xlfn.DAYS(Tabelle1[[#This Row],[End-Zeitfenster]],Tabelle1[[#This Row],[Start-Zeitfenster]])</f>
        <v>97</v>
      </c>
      <c r="F104">
        <v>8</v>
      </c>
      <c r="G104">
        <v>12</v>
      </c>
      <c r="H104">
        <v>5</v>
      </c>
      <c r="I104">
        <v>1.3089999999999999</v>
      </c>
      <c r="J104">
        <v>0.72099999999999997</v>
      </c>
      <c r="K104">
        <v>0.61099999999999999</v>
      </c>
      <c r="L104">
        <v>5.0629999999999997</v>
      </c>
      <c r="M104">
        <v>2</v>
      </c>
      <c r="N104">
        <v>4</v>
      </c>
      <c r="O104">
        <v>50</v>
      </c>
      <c r="P104">
        <v>1</v>
      </c>
      <c r="Q104">
        <v>7</v>
      </c>
      <c r="R104">
        <v>58.332999999999998</v>
      </c>
      <c r="S104">
        <v>2</v>
      </c>
      <c r="T104" t="b">
        <v>0</v>
      </c>
      <c r="U104">
        <v>3</v>
      </c>
      <c r="V104">
        <v>10.5</v>
      </c>
      <c r="W104">
        <v>7.5</v>
      </c>
      <c r="X104">
        <v>21.75</v>
      </c>
      <c r="Y104">
        <v>1</v>
      </c>
      <c r="Z104">
        <v>4</v>
      </c>
    </row>
    <row r="105" spans="1:26">
      <c r="A105">
        <v>26</v>
      </c>
      <c r="B105" s="2">
        <v>45369.058435329862</v>
      </c>
      <c r="C105" s="5">
        <v>45240.874950086807</v>
      </c>
      <c r="D105" s="5">
        <v>45401.104306640627</v>
      </c>
      <c r="E105" s="6">
        <f>_xlfn.DAYS(Tabelle1[[#This Row],[End-Zeitfenster]],Tabelle1[[#This Row],[Start-Zeitfenster]])</f>
        <v>161</v>
      </c>
      <c r="F105">
        <v>6</v>
      </c>
      <c r="G105">
        <v>12</v>
      </c>
      <c r="H105">
        <v>7</v>
      </c>
      <c r="I105">
        <v>0.30499999999999999</v>
      </c>
      <c r="J105">
        <v>1.163</v>
      </c>
      <c r="K105">
        <v>0.36399999999999999</v>
      </c>
      <c r="L105">
        <v>5.0629999999999997</v>
      </c>
      <c r="M105">
        <v>2</v>
      </c>
      <c r="N105">
        <v>6</v>
      </c>
      <c r="O105">
        <v>100</v>
      </c>
      <c r="P105">
        <v>4</v>
      </c>
      <c r="Q105">
        <v>5</v>
      </c>
      <c r="R105">
        <v>41.667000000000002</v>
      </c>
      <c r="S105">
        <v>1</v>
      </c>
      <c r="T105" t="b">
        <v>0</v>
      </c>
      <c r="U105">
        <v>3</v>
      </c>
      <c r="V105">
        <v>10.5</v>
      </c>
      <c r="W105">
        <v>7.5</v>
      </c>
      <c r="X105">
        <v>21.75</v>
      </c>
      <c r="Y105">
        <v>1</v>
      </c>
      <c r="Z105">
        <v>5</v>
      </c>
    </row>
    <row r="106" spans="1:26">
      <c r="A106">
        <v>26</v>
      </c>
      <c r="B106" s="2">
        <v>45753.608891059033</v>
      </c>
      <c r="C106" s="5">
        <v>45721.563019748261</v>
      </c>
      <c r="D106" s="5">
        <v>45785.654762369792</v>
      </c>
      <c r="E106" s="6">
        <f>_xlfn.DAYS(Tabelle1[[#This Row],[End-Zeitfenster]],Tabelle1[[#This Row],[Start-Zeitfenster]])</f>
        <v>64</v>
      </c>
      <c r="F106">
        <v>3</v>
      </c>
      <c r="G106">
        <v>11</v>
      </c>
      <c r="H106">
        <v>3</v>
      </c>
      <c r="I106">
        <v>0.58399999999999996</v>
      </c>
      <c r="J106">
        <v>0.501</v>
      </c>
      <c r="K106">
        <v>0.23499999999999999</v>
      </c>
      <c r="L106">
        <v>4.641</v>
      </c>
      <c r="M106">
        <v>1.833</v>
      </c>
      <c r="N106">
        <v>8</v>
      </c>
      <c r="O106">
        <v>266.66699999999997</v>
      </c>
      <c r="P106">
        <v>1</v>
      </c>
      <c r="Q106">
        <v>8</v>
      </c>
      <c r="R106">
        <v>72.727000000000004</v>
      </c>
      <c r="S106">
        <v>1</v>
      </c>
      <c r="T106" t="b">
        <v>0</v>
      </c>
      <c r="U106">
        <v>3</v>
      </c>
      <c r="V106">
        <v>10.5</v>
      </c>
      <c r="W106">
        <v>7.5</v>
      </c>
      <c r="X106">
        <v>21.75</v>
      </c>
      <c r="Y106">
        <v>1</v>
      </c>
      <c r="Z106">
        <v>6</v>
      </c>
    </row>
    <row r="107" spans="1:26">
      <c r="A107">
        <v>26</v>
      </c>
      <c r="B107" s="2">
        <v>45625.425405815971</v>
      </c>
      <c r="C107" s="5">
        <v>45593.379534505213</v>
      </c>
      <c r="D107" s="5">
        <v>45657.471277126737</v>
      </c>
      <c r="E107" s="6">
        <f>_xlfn.DAYS(Tabelle1[[#This Row],[End-Zeitfenster]],Tabelle1[[#This Row],[Start-Zeitfenster]])</f>
        <v>64</v>
      </c>
      <c r="F107">
        <v>2</v>
      </c>
      <c r="G107">
        <v>8</v>
      </c>
      <c r="H107">
        <v>8</v>
      </c>
      <c r="I107">
        <v>0.25600000000000001</v>
      </c>
      <c r="J107">
        <v>0.66800000000000004</v>
      </c>
      <c r="K107">
        <v>0.217</v>
      </c>
      <c r="L107">
        <v>3.3759999999999999</v>
      </c>
      <c r="M107">
        <v>1.333</v>
      </c>
      <c r="N107">
        <v>6</v>
      </c>
      <c r="O107">
        <v>300</v>
      </c>
      <c r="P107">
        <v>1</v>
      </c>
      <c r="Q107">
        <v>0</v>
      </c>
      <c r="R107">
        <v>0</v>
      </c>
      <c r="S107">
        <v>1</v>
      </c>
      <c r="T107" t="b">
        <v>0</v>
      </c>
      <c r="U107">
        <v>3</v>
      </c>
      <c r="V107">
        <v>10.5</v>
      </c>
      <c r="W107">
        <v>7.5</v>
      </c>
      <c r="X107">
        <v>21.75</v>
      </c>
      <c r="Y107">
        <v>1</v>
      </c>
      <c r="Z107">
        <v>7</v>
      </c>
    </row>
    <row r="108" spans="1:26">
      <c r="A108">
        <v>26</v>
      </c>
      <c r="B108" s="2">
        <v>45817.700633680557</v>
      </c>
      <c r="C108" s="5">
        <v>45785.654762369792</v>
      </c>
      <c r="D108" s="5">
        <v>45849.746504991323</v>
      </c>
      <c r="E108" s="6">
        <f>_xlfn.DAYS(Tabelle1[[#This Row],[End-Zeitfenster]],Tabelle1[[#This Row],[Start-Zeitfenster]])</f>
        <v>64</v>
      </c>
      <c r="F108">
        <v>3</v>
      </c>
      <c r="G108">
        <v>6</v>
      </c>
      <c r="H108">
        <v>5</v>
      </c>
      <c r="I108">
        <v>0.23499999999999999</v>
      </c>
      <c r="J108">
        <v>0.87</v>
      </c>
      <c r="K108">
        <v>0.56999999999999995</v>
      </c>
      <c r="L108">
        <v>2.532</v>
      </c>
      <c r="M108">
        <v>1</v>
      </c>
      <c r="N108">
        <v>3</v>
      </c>
      <c r="O108">
        <v>100</v>
      </c>
      <c r="P108">
        <v>1</v>
      </c>
      <c r="Q108">
        <v>1</v>
      </c>
      <c r="R108">
        <v>16.667000000000002</v>
      </c>
      <c r="S108">
        <v>1</v>
      </c>
      <c r="T108" t="b">
        <v>0</v>
      </c>
      <c r="U108">
        <v>3</v>
      </c>
      <c r="V108">
        <v>10.5</v>
      </c>
      <c r="W108">
        <v>7.5</v>
      </c>
      <c r="X108">
        <v>21.75</v>
      </c>
      <c r="Y108">
        <v>1</v>
      </c>
      <c r="Z108">
        <v>8</v>
      </c>
    </row>
    <row r="109" spans="1:26">
      <c r="A109">
        <v>26</v>
      </c>
      <c r="B109" s="2">
        <v>45881.792376302081</v>
      </c>
      <c r="C109" s="5">
        <v>45849.746504991323</v>
      </c>
      <c r="D109" s="5">
        <v>45913.838247612854</v>
      </c>
      <c r="E109" s="6">
        <f>_xlfn.DAYS(Tabelle1[[#This Row],[End-Zeitfenster]],Tabelle1[[#This Row],[Start-Zeitfenster]])</f>
        <v>64</v>
      </c>
      <c r="F109">
        <v>5</v>
      </c>
      <c r="G109">
        <v>6</v>
      </c>
      <c r="H109">
        <v>1</v>
      </c>
      <c r="I109">
        <v>0.56999999999999995</v>
      </c>
      <c r="J109">
        <v>0.52400000000000002</v>
      </c>
      <c r="K109">
        <v>0.186</v>
      </c>
      <c r="L109">
        <v>2.532</v>
      </c>
      <c r="M109">
        <v>1</v>
      </c>
      <c r="N109">
        <v>1</v>
      </c>
      <c r="O109">
        <v>20</v>
      </c>
      <c r="P109">
        <v>1</v>
      </c>
      <c r="Q109">
        <v>5</v>
      </c>
      <c r="R109">
        <v>83.332999999999998</v>
      </c>
      <c r="S109">
        <v>1</v>
      </c>
      <c r="T109" t="b">
        <v>0</v>
      </c>
      <c r="U109">
        <v>3</v>
      </c>
      <c r="V109">
        <v>10.5</v>
      </c>
      <c r="W109">
        <v>7.5</v>
      </c>
      <c r="X109">
        <v>21.75</v>
      </c>
      <c r="Y109">
        <v>1</v>
      </c>
      <c r="Z109">
        <v>9</v>
      </c>
    </row>
    <row r="110" spans="1:26">
      <c r="A110">
        <v>26</v>
      </c>
      <c r="B110" s="2">
        <v>45529.287791883682</v>
      </c>
      <c r="C110" s="5">
        <v>45465.196049262151</v>
      </c>
      <c r="D110" s="5">
        <v>45593.379534505213</v>
      </c>
      <c r="E110" s="6">
        <f>_xlfn.DAYS(Tabelle1[[#This Row],[End-Zeitfenster]],Tabelle1[[#This Row],[Start-Zeitfenster]])</f>
        <v>128</v>
      </c>
      <c r="F110">
        <v>2</v>
      </c>
      <c r="G110">
        <v>5</v>
      </c>
      <c r="H110">
        <v>2</v>
      </c>
      <c r="I110">
        <v>0.13200000000000001</v>
      </c>
      <c r="J110">
        <v>0.45700000000000002</v>
      </c>
      <c r="K110">
        <v>0.25600000000000001</v>
      </c>
      <c r="L110">
        <v>2.11</v>
      </c>
      <c r="M110">
        <v>0.83299999999999996</v>
      </c>
      <c r="N110">
        <v>3</v>
      </c>
      <c r="O110">
        <v>150</v>
      </c>
      <c r="P110">
        <v>2</v>
      </c>
      <c r="Q110">
        <v>3</v>
      </c>
      <c r="R110">
        <v>60</v>
      </c>
      <c r="S110">
        <v>2</v>
      </c>
      <c r="T110" t="b">
        <v>0</v>
      </c>
      <c r="U110">
        <v>3</v>
      </c>
      <c r="V110">
        <v>10.5</v>
      </c>
      <c r="W110">
        <v>7.5</v>
      </c>
      <c r="X110">
        <v>21.75</v>
      </c>
      <c r="Y110">
        <v>1</v>
      </c>
      <c r="Z110">
        <v>10</v>
      </c>
    </row>
    <row r="111" spans="1:26">
      <c r="A111">
        <v>26</v>
      </c>
      <c r="B111" s="2">
        <v>45945.884118923612</v>
      </c>
      <c r="C111" s="5">
        <v>45913.838247612854</v>
      </c>
      <c r="D111" s="5">
        <v>45977.929990234377</v>
      </c>
      <c r="E111" s="6">
        <f>_xlfn.DAYS(Tabelle1[[#This Row],[End-Zeitfenster]],Tabelle1[[#This Row],[Start-Zeitfenster]])</f>
        <v>64</v>
      </c>
      <c r="F111">
        <v>1</v>
      </c>
      <c r="G111">
        <v>2</v>
      </c>
      <c r="H111">
        <v>2</v>
      </c>
      <c r="I111">
        <v>0.186</v>
      </c>
      <c r="J111">
        <v>0.38800000000000001</v>
      </c>
      <c r="K111">
        <v>0.28699999999999998</v>
      </c>
      <c r="L111">
        <v>0.84399999999999997</v>
      </c>
      <c r="M111">
        <v>0.33300000000000002</v>
      </c>
      <c r="N111">
        <v>1</v>
      </c>
      <c r="O111">
        <v>100</v>
      </c>
      <c r="P111">
        <v>1</v>
      </c>
      <c r="Q111">
        <v>0</v>
      </c>
      <c r="R111">
        <v>0</v>
      </c>
      <c r="S111">
        <v>1</v>
      </c>
      <c r="T111" t="b">
        <v>0</v>
      </c>
      <c r="U111">
        <v>3</v>
      </c>
      <c r="V111">
        <v>10.5</v>
      </c>
      <c r="W111">
        <v>7.5</v>
      </c>
      <c r="X111">
        <v>21.75</v>
      </c>
      <c r="Y111">
        <v>1</v>
      </c>
      <c r="Z111">
        <v>11</v>
      </c>
    </row>
    <row r="112" spans="1:26">
      <c r="A112">
        <v>28</v>
      </c>
      <c r="B112" s="2">
        <v>45208.829078776042</v>
      </c>
      <c r="C112" s="5">
        <v>45144.737336154511</v>
      </c>
      <c r="D112" s="5">
        <v>45240.874950086807</v>
      </c>
      <c r="E112" s="6">
        <f>_xlfn.DAYS(Tabelle1[[#This Row],[End-Zeitfenster]],Tabelle1[[#This Row],[Start-Zeitfenster]])</f>
        <v>96</v>
      </c>
      <c r="F112">
        <v>2</v>
      </c>
      <c r="G112">
        <v>23</v>
      </c>
      <c r="H112">
        <v>4</v>
      </c>
      <c r="I112">
        <v>0.24399999999999999</v>
      </c>
      <c r="J112">
        <v>0.56699999999999995</v>
      </c>
      <c r="K112">
        <v>0.20300000000000001</v>
      </c>
      <c r="L112">
        <v>10.648</v>
      </c>
      <c r="M112">
        <v>4.1820000000000004</v>
      </c>
      <c r="N112">
        <v>21</v>
      </c>
      <c r="O112">
        <v>1050</v>
      </c>
      <c r="P112">
        <v>2</v>
      </c>
      <c r="Q112">
        <v>19</v>
      </c>
      <c r="R112">
        <v>82.608999999999995</v>
      </c>
      <c r="S112">
        <v>1</v>
      </c>
      <c r="T112" t="b">
        <v>1</v>
      </c>
      <c r="U112">
        <v>3</v>
      </c>
      <c r="V112">
        <v>9.75</v>
      </c>
      <c r="W112">
        <v>6.75</v>
      </c>
      <c r="X112">
        <v>19.875</v>
      </c>
      <c r="Y112">
        <v>1</v>
      </c>
      <c r="Z112">
        <v>1</v>
      </c>
    </row>
    <row r="113" spans="1:26">
      <c r="A113">
        <v>28</v>
      </c>
      <c r="B113" s="2">
        <v>45689.517148437502</v>
      </c>
      <c r="C113" s="5">
        <v>45625.425405815971</v>
      </c>
      <c r="D113" s="5">
        <v>45753.608891059033</v>
      </c>
      <c r="E113" s="6">
        <f>_xlfn.DAYS(Tabelle1[[#This Row],[End-Zeitfenster]],Tabelle1[[#This Row],[Start-Zeitfenster]])</f>
        <v>128</v>
      </c>
      <c r="F113">
        <v>2</v>
      </c>
      <c r="G113">
        <v>23</v>
      </c>
      <c r="H113">
        <v>3</v>
      </c>
      <c r="I113">
        <v>0.16700000000000001</v>
      </c>
      <c r="J113">
        <v>0.82399999999999995</v>
      </c>
      <c r="K113">
        <v>0.13700000000000001</v>
      </c>
      <c r="L113">
        <v>10.648</v>
      </c>
      <c r="M113">
        <v>4.1820000000000004</v>
      </c>
      <c r="N113">
        <v>21</v>
      </c>
      <c r="O113">
        <v>1050</v>
      </c>
      <c r="P113">
        <v>2</v>
      </c>
      <c r="Q113">
        <v>20</v>
      </c>
      <c r="R113">
        <v>86.956999999999994</v>
      </c>
      <c r="S113">
        <v>2</v>
      </c>
      <c r="T113" t="b">
        <v>1</v>
      </c>
      <c r="U113">
        <v>3</v>
      </c>
      <c r="V113">
        <v>9.75</v>
      </c>
      <c r="W113">
        <v>6.75</v>
      </c>
      <c r="X113">
        <v>19.875</v>
      </c>
      <c r="Y113">
        <v>1</v>
      </c>
      <c r="Z113">
        <v>2</v>
      </c>
    </row>
    <row r="114" spans="1:26">
      <c r="A114">
        <v>28</v>
      </c>
      <c r="B114" s="2">
        <v>45785.654762369792</v>
      </c>
      <c r="C114" s="5">
        <v>45753.608891059033</v>
      </c>
      <c r="D114" s="5">
        <v>45817.700633680557</v>
      </c>
      <c r="E114" s="6">
        <f>_xlfn.DAYS(Tabelle1[[#This Row],[End-Zeitfenster]],Tabelle1[[#This Row],[Start-Zeitfenster]])</f>
        <v>64</v>
      </c>
      <c r="F114">
        <v>3</v>
      </c>
      <c r="G114">
        <v>14</v>
      </c>
      <c r="H114">
        <v>4</v>
      </c>
      <c r="I114">
        <v>0.13700000000000001</v>
      </c>
      <c r="J114">
        <v>1.095</v>
      </c>
      <c r="K114">
        <v>0.57999999999999996</v>
      </c>
      <c r="L114">
        <v>6.4809999999999999</v>
      </c>
      <c r="M114">
        <v>2.5449999999999999</v>
      </c>
      <c r="N114">
        <v>11</v>
      </c>
      <c r="O114">
        <v>366.66699999999997</v>
      </c>
      <c r="P114">
        <v>1</v>
      </c>
      <c r="Q114">
        <v>10</v>
      </c>
      <c r="R114">
        <v>71.429000000000002</v>
      </c>
      <c r="S114">
        <v>1</v>
      </c>
      <c r="T114" t="b">
        <v>0</v>
      </c>
      <c r="U114">
        <v>3</v>
      </c>
      <c r="V114">
        <v>9.75</v>
      </c>
      <c r="W114">
        <v>6.75</v>
      </c>
      <c r="X114">
        <v>19.875</v>
      </c>
      <c r="Y114">
        <v>1</v>
      </c>
      <c r="Z114">
        <v>3</v>
      </c>
    </row>
    <row r="115" spans="1:26">
      <c r="A115">
        <v>28</v>
      </c>
      <c r="B115" s="2">
        <v>45593.379534505213</v>
      </c>
      <c r="C115" s="5">
        <v>45529.287791883682</v>
      </c>
      <c r="D115" s="5">
        <v>45625.425405815971</v>
      </c>
      <c r="E115" s="6">
        <f>_xlfn.DAYS(Tabelle1[[#This Row],[End-Zeitfenster]],Tabelle1[[#This Row],[Start-Zeitfenster]])</f>
        <v>96</v>
      </c>
      <c r="F115">
        <v>4</v>
      </c>
      <c r="G115">
        <v>12</v>
      </c>
      <c r="H115">
        <v>2</v>
      </c>
      <c r="I115">
        <v>0.36499999999999999</v>
      </c>
      <c r="J115">
        <v>1.5349999999999999</v>
      </c>
      <c r="K115">
        <v>0.16700000000000001</v>
      </c>
      <c r="L115">
        <v>5.556</v>
      </c>
      <c r="M115">
        <v>2.1819999999999999</v>
      </c>
      <c r="N115">
        <v>8</v>
      </c>
      <c r="O115">
        <v>200</v>
      </c>
      <c r="P115">
        <v>2</v>
      </c>
      <c r="Q115">
        <v>10</v>
      </c>
      <c r="R115">
        <v>83.332999999999998</v>
      </c>
      <c r="S115">
        <v>1</v>
      </c>
      <c r="T115" t="b">
        <v>0</v>
      </c>
      <c r="U115">
        <v>3</v>
      </c>
      <c r="V115">
        <v>9.75</v>
      </c>
      <c r="W115">
        <v>6.75</v>
      </c>
      <c r="X115">
        <v>19.875</v>
      </c>
      <c r="Y115">
        <v>1</v>
      </c>
      <c r="Z115">
        <v>4</v>
      </c>
    </row>
    <row r="116" spans="1:26">
      <c r="A116">
        <v>28</v>
      </c>
      <c r="B116" s="2">
        <v>45401.104306640627</v>
      </c>
      <c r="C116" s="5">
        <v>45369.058435329862</v>
      </c>
      <c r="D116" s="5">
        <v>45465.196049262151</v>
      </c>
      <c r="E116" s="6">
        <f>_xlfn.DAYS(Tabelle1[[#This Row],[End-Zeitfenster]],Tabelle1[[#This Row],[Start-Zeitfenster]])</f>
        <v>96</v>
      </c>
      <c r="F116">
        <v>2</v>
      </c>
      <c r="G116">
        <v>11</v>
      </c>
      <c r="H116">
        <v>6</v>
      </c>
      <c r="I116">
        <v>0.19400000000000001</v>
      </c>
      <c r="J116">
        <v>0.57199999999999995</v>
      </c>
      <c r="K116">
        <v>0.39500000000000002</v>
      </c>
      <c r="L116">
        <v>5.093</v>
      </c>
      <c r="M116">
        <v>2</v>
      </c>
      <c r="N116">
        <v>9</v>
      </c>
      <c r="O116">
        <v>450</v>
      </c>
      <c r="P116">
        <v>1</v>
      </c>
      <c r="Q116">
        <v>5</v>
      </c>
      <c r="R116">
        <v>45.454999999999998</v>
      </c>
      <c r="S116">
        <v>2</v>
      </c>
      <c r="T116" t="b">
        <v>0</v>
      </c>
      <c r="U116">
        <v>3</v>
      </c>
      <c r="V116">
        <v>9.75</v>
      </c>
      <c r="W116">
        <v>6.75</v>
      </c>
      <c r="X116">
        <v>19.875</v>
      </c>
      <c r="Y116">
        <v>1</v>
      </c>
      <c r="Z116">
        <v>5</v>
      </c>
    </row>
    <row r="117" spans="1:26">
      <c r="A117">
        <v>28</v>
      </c>
      <c r="B117" s="2">
        <v>45881.792376302081</v>
      </c>
      <c r="C117" s="5">
        <v>45817.700633680557</v>
      </c>
      <c r="D117" s="5">
        <v>45913.838247612854</v>
      </c>
      <c r="E117" s="6">
        <f>_xlfn.DAYS(Tabelle1[[#This Row],[End-Zeitfenster]],Tabelle1[[#This Row],[Start-Zeitfenster]])</f>
        <v>96</v>
      </c>
      <c r="F117">
        <v>4</v>
      </c>
      <c r="G117">
        <v>9</v>
      </c>
      <c r="H117">
        <v>2</v>
      </c>
      <c r="I117">
        <v>0.57999999999999996</v>
      </c>
      <c r="J117">
        <v>0.78600000000000003</v>
      </c>
      <c r="K117">
        <v>0.371</v>
      </c>
      <c r="L117">
        <v>4.1669999999999998</v>
      </c>
      <c r="M117">
        <v>1.6359999999999999</v>
      </c>
      <c r="N117">
        <v>5</v>
      </c>
      <c r="O117">
        <v>125</v>
      </c>
      <c r="P117">
        <v>2</v>
      </c>
      <c r="Q117">
        <v>7</v>
      </c>
      <c r="R117">
        <v>77.778000000000006</v>
      </c>
      <c r="S117">
        <v>1</v>
      </c>
      <c r="T117" t="b">
        <v>0</v>
      </c>
      <c r="U117">
        <v>3</v>
      </c>
      <c r="V117">
        <v>9.75</v>
      </c>
      <c r="W117">
        <v>6.75</v>
      </c>
      <c r="X117">
        <v>19.875</v>
      </c>
      <c r="Y117">
        <v>1</v>
      </c>
      <c r="Z117">
        <v>6</v>
      </c>
    </row>
    <row r="118" spans="1:26">
      <c r="A118">
        <v>28</v>
      </c>
      <c r="B118" s="2">
        <v>45272.920821397573</v>
      </c>
      <c r="C118" s="5">
        <v>45240.874950086807</v>
      </c>
      <c r="D118" s="5">
        <v>45369.058435329862</v>
      </c>
      <c r="E118" s="6">
        <f>_xlfn.DAYS(Tabelle1[[#This Row],[End-Zeitfenster]],Tabelle1[[#This Row],[Start-Zeitfenster]])</f>
        <v>129</v>
      </c>
      <c r="F118">
        <v>4</v>
      </c>
      <c r="G118">
        <v>8</v>
      </c>
      <c r="H118">
        <v>2</v>
      </c>
      <c r="I118">
        <v>0.20300000000000001</v>
      </c>
      <c r="J118">
        <v>0.58699999999999997</v>
      </c>
      <c r="K118">
        <v>0.19400000000000001</v>
      </c>
      <c r="L118">
        <v>3.7040000000000002</v>
      </c>
      <c r="M118">
        <v>1.4550000000000001</v>
      </c>
      <c r="N118">
        <v>4</v>
      </c>
      <c r="O118">
        <v>100</v>
      </c>
      <c r="P118">
        <v>1</v>
      </c>
      <c r="Q118">
        <v>6</v>
      </c>
      <c r="R118">
        <v>75</v>
      </c>
      <c r="S118">
        <v>3</v>
      </c>
      <c r="T118" t="b">
        <v>0</v>
      </c>
      <c r="U118">
        <v>3</v>
      </c>
      <c r="V118">
        <v>9.75</v>
      </c>
      <c r="W118">
        <v>6.75</v>
      </c>
      <c r="X118">
        <v>19.875</v>
      </c>
      <c r="Y118">
        <v>1</v>
      </c>
      <c r="Z118">
        <v>7</v>
      </c>
    </row>
    <row r="119" spans="1:26">
      <c r="A119">
        <v>28</v>
      </c>
      <c r="B119" s="2">
        <v>45080.645593532987</v>
      </c>
      <c r="C119" s="5">
        <v>45047.574254340281</v>
      </c>
      <c r="D119" s="5">
        <v>45144.737336154511</v>
      </c>
      <c r="E119" s="6">
        <f>_xlfn.DAYS(Tabelle1[[#This Row],[End-Zeitfenster]],Tabelle1[[#This Row],[Start-Zeitfenster]])</f>
        <v>97</v>
      </c>
      <c r="F119">
        <v>3</v>
      </c>
      <c r="G119">
        <v>7</v>
      </c>
      <c r="H119">
        <v>2</v>
      </c>
      <c r="I119">
        <v>0.49099999999999999</v>
      </c>
      <c r="J119">
        <v>0.42099999999999999</v>
      </c>
      <c r="K119">
        <v>0.24399999999999999</v>
      </c>
      <c r="L119">
        <v>3.2410000000000001</v>
      </c>
      <c r="M119">
        <v>1.2729999999999999</v>
      </c>
      <c r="N119">
        <v>4</v>
      </c>
      <c r="O119">
        <v>133.333</v>
      </c>
      <c r="P119">
        <v>1</v>
      </c>
      <c r="Q119">
        <v>5</v>
      </c>
      <c r="R119">
        <v>71.429000000000002</v>
      </c>
      <c r="S119">
        <v>2</v>
      </c>
      <c r="T119" t="b">
        <v>0</v>
      </c>
      <c r="U119">
        <v>3</v>
      </c>
      <c r="V119">
        <v>9.75</v>
      </c>
      <c r="W119">
        <v>6.75</v>
      </c>
      <c r="X119">
        <v>19.875</v>
      </c>
      <c r="Y119">
        <v>1</v>
      </c>
      <c r="Z119">
        <v>8</v>
      </c>
    </row>
    <row r="120" spans="1:26">
      <c r="A120">
        <v>28</v>
      </c>
      <c r="B120" s="2">
        <v>45497.241920572917</v>
      </c>
      <c r="C120" s="5">
        <v>45465.196049262151</v>
      </c>
      <c r="D120" s="5">
        <v>45529.287791883682</v>
      </c>
      <c r="E120" s="6">
        <f>_xlfn.DAYS(Tabelle1[[#This Row],[End-Zeitfenster]],Tabelle1[[#This Row],[Start-Zeitfenster]])</f>
        <v>64</v>
      </c>
      <c r="F120">
        <v>6</v>
      </c>
      <c r="G120">
        <v>7</v>
      </c>
      <c r="H120">
        <v>4</v>
      </c>
      <c r="I120">
        <v>0.39500000000000002</v>
      </c>
      <c r="J120">
        <v>0.499</v>
      </c>
      <c r="K120">
        <v>0.36499999999999999</v>
      </c>
      <c r="L120">
        <v>3.2410000000000001</v>
      </c>
      <c r="M120">
        <v>1.2729999999999999</v>
      </c>
      <c r="N120">
        <v>1</v>
      </c>
      <c r="O120">
        <v>16.667000000000002</v>
      </c>
      <c r="P120">
        <v>1</v>
      </c>
      <c r="Q120">
        <v>3</v>
      </c>
      <c r="R120">
        <v>42.856999999999999</v>
      </c>
      <c r="S120">
        <v>1</v>
      </c>
      <c r="T120" t="b">
        <v>0</v>
      </c>
      <c r="U120">
        <v>3</v>
      </c>
      <c r="V120">
        <v>9.75</v>
      </c>
      <c r="W120">
        <v>6.75</v>
      </c>
      <c r="X120">
        <v>19.875</v>
      </c>
      <c r="Y120">
        <v>1</v>
      </c>
      <c r="Z120">
        <v>9</v>
      </c>
    </row>
    <row r="121" spans="1:26">
      <c r="A121">
        <v>28</v>
      </c>
      <c r="B121" s="2">
        <v>45977.929990234377</v>
      </c>
      <c r="C121" s="5">
        <v>45913.838247612854</v>
      </c>
      <c r="D121" s="5">
        <v>46009.975861545143</v>
      </c>
      <c r="E121" s="6">
        <f>_xlfn.DAYS(Tabelle1[[#This Row],[End-Zeitfenster]],Tabelle1[[#This Row],[Start-Zeitfenster]])</f>
        <v>96</v>
      </c>
      <c r="F121">
        <v>2</v>
      </c>
      <c r="G121">
        <v>3</v>
      </c>
      <c r="H121">
        <v>3</v>
      </c>
      <c r="I121">
        <v>0.371</v>
      </c>
      <c r="J121">
        <v>0.43</v>
      </c>
      <c r="K121">
        <v>0.70399999999999996</v>
      </c>
      <c r="L121">
        <v>1.389</v>
      </c>
      <c r="M121">
        <v>0.54500000000000004</v>
      </c>
      <c r="N121">
        <v>1</v>
      </c>
      <c r="O121">
        <v>50</v>
      </c>
      <c r="P121">
        <v>1</v>
      </c>
      <c r="Q121">
        <v>0</v>
      </c>
      <c r="R121">
        <v>0</v>
      </c>
      <c r="S121">
        <v>1</v>
      </c>
      <c r="T121" t="b">
        <v>0</v>
      </c>
      <c r="U121">
        <v>3</v>
      </c>
      <c r="V121">
        <v>9.75</v>
      </c>
      <c r="W121">
        <v>6.75</v>
      </c>
      <c r="X121">
        <v>19.875</v>
      </c>
      <c r="Y121">
        <v>1</v>
      </c>
      <c r="Z121">
        <v>10</v>
      </c>
    </row>
    <row r="122" spans="1:26">
      <c r="A122">
        <v>30</v>
      </c>
      <c r="B122" s="2">
        <v>45240.874950086807</v>
      </c>
      <c r="C122" s="5">
        <v>45144.737336154511</v>
      </c>
      <c r="D122" s="5">
        <v>45272.920821397573</v>
      </c>
      <c r="E122" s="6">
        <f>_xlfn.DAYS(Tabelle1[[#This Row],[End-Zeitfenster]],Tabelle1[[#This Row],[Start-Zeitfenster]])</f>
        <v>128</v>
      </c>
      <c r="F122">
        <v>3</v>
      </c>
      <c r="G122">
        <v>17</v>
      </c>
      <c r="H122">
        <v>8</v>
      </c>
      <c r="I122">
        <v>0.36699999999999999</v>
      </c>
      <c r="J122">
        <v>0.86499999999999999</v>
      </c>
      <c r="K122">
        <v>0.58699999999999997</v>
      </c>
      <c r="L122">
        <v>8.6289999999999996</v>
      </c>
      <c r="M122">
        <v>3.4</v>
      </c>
      <c r="N122">
        <v>14</v>
      </c>
      <c r="O122">
        <v>466.66699999999997</v>
      </c>
      <c r="P122">
        <v>3</v>
      </c>
      <c r="Q122">
        <v>9</v>
      </c>
      <c r="R122">
        <v>52.941000000000003</v>
      </c>
      <c r="S122">
        <v>1</v>
      </c>
      <c r="T122" t="b">
        <v>1</v>
      </c>
      <c r="U122">
        <v>4</v>
      </c>
      <c r="V122">
        <v>7</v>
      </c>
      <c r="W122">
        <v>3</v>
      </c>
      <c r="X122">
        <v>11.5</v>
      </c>
      <c r="Y122">
        <v>2</v>
      </c>
      <c r="Z122">
        <v>1</v>
      </c>
    </row>
    <row r="123" spans="1:26">
      <c r="A123">
        <v>30</v>
      </c>
      <c r="B123" s="2">
        <v>45657.471277126737</v>
      </c>
      <c r="C123" s="5">
        <v>45593.379534505213</v>
      </c>
      <c r="D123" s="5">
        <v>45721.563019748261</v>
      </c>
      <c r="E123" s="6">
        <f>_xlfn.DAYS(Tabelle1[[#This Row],[End-Zeitfenster]],Tabelle1[[#This Row],[Start-Zeitfenster]])</f>
        <v>128</v>
      </c>
      <c r="F123">
        <v>3</v>
      </c>
      <c r="G123">
        <v>17</v>
      </c>
      <c r="H123">
        <v>2</v>
      </c>
      <c r="I123">
        <v>0.38400000000000001</v>
      </c>
      <c r="J123">
        <v>0.46100000000000002</v>
      </c>
      <c r="K123">
        <v>0.38900000000000001</v>
      </c>
      <c r="L123">
        <v>8.6289999999999996</v>
      </c>
      <c r="M123">
        <v>3.4</v>
      </c>
      <c r="N123">
        <v>14</v>
      </c>
      <c r="O123">
        <v>466.66699999999997</v>
      </c>
      <c r="P123">
        <v>2</v>
      </c>
      <c r="Q123">
        <v>15</v>
      </c>
      <c r="R123">
        <v>88.234999999999999</v>
      </c>
      <c r="S123">
        <v>2</v>
      </c>
      <c r="T123" t="b">
        <v>1</v>
      </c>
      <c r="U123">
        <v>4</v>
      </c>
      <c r="V123">
        <v>7</v>
      </c>
      <c r="W123">
        <v>3</v>
      </c>
      <c r="X123">
        <v>11.5</v>
      </c>
      <c r="Y123">
        <v>1</v>
      </c>
      <c r="Z123">
        <v>2</v>
      </c>
    </row>
    <row r="124" spans="1:26">
      <c r="A124">
        <v>30</v>
      </c>
      <c r="B124" s="2">
        <v>45337.012564019104</v>
      </c>
      <c r="C124" s="5">
        <v>45272.920821397573</v>
      </c>
      <c r="D124" s="5">
        <v>45369.058435329862</v>
      </c>
      <c r="E124" s="6">
        <f>_xlfn.DAYS(Tabelle1[[#This Row],[End-Zeitfenster]],Tabelle1[[#This Row],[Start-Zeitfenster]])</f>
        <v>97</v>
      </c>
      <c r="F124">
        <v>8</v>
      </c>
      <c r="G124">
        <v>13</v>
      </c>
      <c r="H124">
        <v>5</v>
      </c>
      <c r="I124">
        <v>0.58699999999999997</v>
      </c>
      <c r="J124">
        <v>0.82399999999999995</v>
      </c>
      <c r="K124">
        <v>0.48399999999999999</v>
      </c>
      <c r="L124">
        <v>6.5990000000000002</v>
      </c>
      <c r="M124">
        <v>2.6</v>
      </c>
      <c r="N124">
        <v>5</v>
      </c>
      <c r="O124">
        <v>62.5</v>
      </c>
      <c r="P124">
        <v>2</v>
      </c>
      <c r="Q124">
        <v>8</v>
      </c>
      <c r="R124">
        <v>61.537999999999997</v>
      </c>
      <c r="S124">
        <v>1</v>
      </c>
      <c r="T124" t="b">
        <v>1</v>
      </c>
      <c r="U124">
        <v>4</v>
      </c>
      <c r="V124">
        <v>7</v>
      </c>
      <c r="W124">
        <v>3</v>
      </c>
      <c r="X124">
        <v>11.5</v>
      </c>
      <c r="Y124">
        <v>1</v>
      </c>
      <c r="Z124">
        <v>3</v>
      </c>
    </row>
    <row r="125" spans="1:26">
      <c r="A125">
        <v>30</v>
      </c>
      <c r="B125" s="2">
        <v>45401.104306640627</v>
      </c>
      <c r="C125" s="5">
        <v>45369.058435329862</v>
      </c>
      <c r="D125" s="5">
        <v>45465.196049262151</v>
      </c>
      <c r="E125" s="6">
        <f>_xlfn.DAYS(Tabelle1[[#This Row],[End-Zeitfenster]],Tabelle1[[#This Row],[Start-Zeitfenster]])</f>
        <v>96</v>
      </c>
      <c r="F125">
        <v>5</v>
      </c>
      <c r="G125">
        <v>7</v>
      </c>
      <c r="H125">
        <v>4</v>
      </c>
      <c r="I125">
        <v>0.48399999999999999</v>
      </c>
      <c r="J125">
        <v>0.36399999999999999</v>
      </c>
      <c r="K125">
        <v>0.26300000000000001</v>
      </c>
      <c r="L125">
        <v>3.5529999999999999</v>
      </c>
      <c r="M125">
        <v>1.4</v>
      </c>
      <c r="N125">
        <v>2</v>
      </c>
      <c r="O125">
        <v>40</v>
      </c>
      <c r="P125">
        <v>1</v>
      </c>
      <c r="Q125">
        <v>3</v>
      </c>
      <c r="R125">
        <v>42.856999999999999</v>
      </c>
      <c r="S125">
        <v>2</v>
      </c>
      <c r="T125" t="b">
        <v>0</v>
      </c>
      <c r="U125">
        <v>4</v>
      </c>
      <c r="V125">
        <v>7</v>
      </c>
      <c r="W125">
        <v>3</v>
      </c>
      <c r="X125">
        <v>11.5</v>
      </c>
      <c r="Y125">
        <v>1</v>
      </c>
      <c r="Z125">
        <v>4</v>
      </c>
    </row>
    <row r="126" spans="1:26">
      <c r="A126">
        <v>30</v>
      </c>
      <c r="B126" s="2">
        <v>45881.792376302081</v>
      </c>
      <c r="C126" s="5">
        <v>45849.746504991323</v>
      </c>
      <c r="D126" s="5">
        <v>45913.838247612854</v>
      </c>
      <c r="E126" s="6">
        <f>_xlfn.DAYS(Tabelle1[[#This Row],[End-Zeitfenster]],Tabelle1[[#This Row],[Start-Zeitfenster]])</f>
        <v>64</v>
      </c>
      <c r="F126">
        <v>3</v>
      </c>
      <c r="G126">
        <v>7</v>
      </c>
      <c r="H126">
        <v>1</v>
      </c>
      <c r="I126">
        <v>0.34200000000000003</v>
      </c>
      <c r="J126">
        <v>0.61099999999999999</v>
      </c>
      <c r="K126">
        <v>0.186</v>
      </c>
      <c r="L126">
        <v>3.5529999999999999</v>
      </c>
      <c r="M126">
        <v>1.4</v>
      </c>
      <c r="N126">
        <v>4</v>
      </c>
      <c r="O126">
        <v>133.333</v>
      </c>
      <c r="P126">
        <v>1</v>
      </c>
      <c r="Q126">
        <v>6</v>
      </c>
      <c r="R126">
        <v>85.713999999999999</v>
      </c>
      <c r="S126">
        <v>1</v>
      </c>
      <c r="T126" t="b">
        <v>0</v>
      </c>
      <c r="U126">
        <v>4</v>
      </c>
      <c r="V126">
        <v>7</v>
      </c>
      <c r="W126">
        <v>3</v>
      </c>
      <c r="X126">
        <v>11.5</v>
      </c>
      <c r="Y126">
        <v>1</v>
      </c>
      <c r="Z126">
        <v>5</v>
      </c>
    </row>
    <row r="127" spans="1:26">
      <c r="A127">
        <v>30</v>
      </c>
      <c r="B127" s="2">
        <v>45977.929990234377</v>
      </c>
      <c r="C127" s="5">
        <v>45913.838247612854</v>
      </c>
      <c r="D127" s="5">
        <v>46009.975861545143</v>
      </c>
      <c r="E127" s="6">
        <f>_xlfn.DAYS(Tabelle1[[#This Row],[End-Zeitfenster]],Tabelle1[[#This Row],[Start-Zeitfenster]])</f>
        <v>96</v>
      </c>
      <c r="F127">
        <v>1</v>
      </c>
      <c r="G127">
        <v>7</v>
      </c>
      <c r="H127">
        <v>2</v>
      </c>
      <c r="I127">
        <v>0.186</v>
      </c>
      <c r="J127">
        <v>1.0029999999999999</v>
      </c>
      <c r="K127">
        <v>0.46899999999999997</v>
      </c>
      <c r="L127">
        <v>3.5529999999999999</v>
      </c>
      <c r="M127">
        <v>1.4</v>
      </c>
      <c r="N127">
        <v>6</v>
      </c>
      <c r="O127">
        <v>600</v>
      </c>
      <c r="P127">
        <v>2</v>
      </c>
      <c r="Q127">
        <v>5</v>
      </c>
      <c r="R127">
        <v>71.429000000000002</v>
      </c>
      <c r="S127">
        <v>1</v>
      </c>
      <c r="T127" t="b">
        <v>0</v>
      </c>
      <c r="U127">
        <v>4</v>
      </c>
      <c r="V127">
        <v>7</v>
      </c>
      <c r="W127">
        <v>3</v>
      </c>
      <c r="X127">
        <v>11.5</v>
      </c>
      <c r="Y127">
        <v>1</v>
      </c>
      <c r="Z127">
        <v>6</v>
      </c>
    </row>
    <row r="128" spans="1:26">
      <c r="A128">
        <v>30</v>
      </c>
      <c r="B128" s="2">
        <v>45529.287791883682</v>
      </c>
      <c r="C128" s="5">
        <v>45465.196049262151</v>
      </c>
      <c r="D128" s="5">
        <v>45561.333663194448</v>
      </c>
      <c r="E128" s="6">
        <f>_xlfn.DAYS(Tabelle1[[#This Row],[End-Zeitfenster]],Tabelle1[[#This Row],[Start-Zeitfenster]])</f>
        <v>96</v>
      </c>
      <c r="F128">
        <v>4</v>
      </c>
      <c r="G128">
        <v>6</v>
      </c>
      <c r="H128">
        <v>3</v>
      </c>
      <c r="I128">
        <v>0.26300000000000001</v>
      </c>
      <c r="J128">
        <v>0.54800000000000004</v>
      </c>
      <c r="K128">
        <v>0.26300000000000001</v>
      </c>
      <c r="L128">
        <v>3.0459999999999998</v>
      </c>
      <c r="M128">
        <v>1.2</v>
      </c>
      <c r="N128">
        <v>2</v>
      </c>
      <c r="O128">
        <v>50</v>
      </c>
      <c r="P128">
        <v>2</v>
      </c>
      <c r="Q128">
        <v>3</v>
      </c>
      <c r="R128">
        <v>50</v>
      </c>
      <c r="S128">
        <v>1</v>
      </c>
      <c r="T128" t="b">
        <v>0</v>
      </c>
      <c r="U128">
        <v>4</v>
      </c>
      <c r="V128">
        <v>7</v>
      </c>
      <c r="W128">
        <v>3</v>
      </c>
      <c r="X128">
        <v>11.5</v>
      </c>
      <c r="Y128">
        <v>1</v>
      </c>
      <c r="Z128">
        <v>7</v>
      </c>
    </row>
    <row r="129" spans="1:26">
      <c r="A129">
        <v>30</v>
      </c>
      <c r="B129" s="2">
        <v>45753.608891059033</v>
      </c>
      <c r="C129" s="5">
        <v>45721.563019748261</v>
      </c>
      <c r="D129" s="5">
        <v>45849.746504991323</v>
      </c>
      <c r="E129" s="6">
        <f>_xlfn.DAYS(Tabelle1[[#This Row],[End-Zeitfenster]],Tabelle1[[#This Row],[Start-Zeitfenster]])</f>
        <v>128</v>
      </c>
      <c r="F129">
        <v>2</v>
      </c>
      <c r="G129">
        <v>5</v>
      </c>
      <c r="H129">
        <v>3</v>
      </c>
      <c r="I129">
        <v>0.38900000000000001</v>
      </c>
      <c r="J129">
        <v>0.22800000000000001</v>
      </c>
      <c r="K129">
        <v>0.34200000000000003</v>
      </c>
      <c r="L129">
        <v>2.5379999999999998</v>
      </c>
      <c r="M129">
        <v>1</v>
      </c>
      <c r="N129">
        <v>3</v>
      </c>
      <c r="O129">
        <v>150</v>
      </c>
      <c r="P129">
        <v>1</v>
      </c>
      <c r="Q129">
        <v>2</v>
      </c>
      <c r="R129">
        <v>40</v>
      </c>
      <c r="S129">
        <v>3</v>
      </c>
      <c r="T129" t="b">
        <v>0</v>
      </c>
      <c r="U129">
        <v>4</v>
      </c>
      <c r="V129">
        <v>7</v>
      </c>
      <c r="W129">
        <v>3</v>
      </c>
      <c r="X129">
        <v>11.5</v>
      </c>
      <c r="Y129">
        <v>1</v>
      </c>
      <c r="Z129">
        <v>8</v>
      </c>
    </row>
    <row r="130" spans="1:26">
      <c r="A130">
        <v>35</v>
      </c>
      <c r="B130" s="2">
        <v>45657.471277126737</v>
      </c>
      <c r="C130" s="5">
        <v>45561.333663194448</v>
      </c>
      <c r="D130" s="5">
        <v>45881.792376302081</v>
      </c>
      <c r="E130" s="6">
        <f>_xlfn.DAYS(Tabelle1[[#This Row],[End-Zeitfenster]],Tabelle1[[#This Row],[Start-Zeitfenster]])</f>
        <v>320</v>
      </c>
      <c r="F130">
        <v>1</v>
      </c>
      <c r="G130">
        <v>90</v>
      </c>
      <c r="H130">
        <v>1</v>
      </c>
      <c r="I130">
        <v>8.7999999999999995E-2</v>
      </c>
      <c r="J130">
        <v>2.4409999999999998</v>
      </c>
      <c r="K130">
        <v>8.6999999999999994E-2</v>
      </c>
      <c r="L130">
        <v>54.545000000000002</v>
      </c>
      <c r="M130">
        <v>45</v>
      </c>
      <c r="N130">
        <v>89</v>
      </c>
      <c r="O130">
        <v>8900</v>
      </c>
      <c r="P130">
        <v>2</v>
      </c>
      <c r="Q130">
        <v>89</v>
      </c>
      <c r="R130">
        <v>98.888999999999996</v>
      </c>
      <c r="S130">
        <v>5</v>
      </c>
      <c r="T130" t="b">
        <v>1</v>
      </c>
      <c r="U130">
        <v>1</v>
      </c>
      <c r="V130">
        <v>4.25</v>
      </c>
      <c r="W130">
        <v>3.25</v>
      </c>
      <c r="X130">
        <v>9.125</v>
      </c>
      <c r="Y130">
        <v>3</v>
      </c>
      <c r="Z130">
        <v>1</v>
      </c>
    </row>
    <row r="131" spans="1:26">
      <c r="A131">
        <v>35</v>
      </c>
      <c r="B131" s="2">
        <v>45529.287791883682</v>
      </c>
      <c r="C131" s="5">
        <v>45497.241920572917</v>
      </c>
      <c r="D131" s="5">
        <v>45561.333663194448</v>
      </c>
      <c r="E131" s="6">
        <f>_xlfn.DAYS(Tabelle1[[#This Row],[End-Zeitfenster]],Tabelle1[[#This Row],[Start-Zeitfenster]])</f>
        <v>64</v>
      </c>
      <c r="F131">
        <v>1</v>
      </c>
      <c r="G131">
        <v>7</v>
      </c>
      <c r="H131">
        <v>1</v>
      </c>
      <c r="I131">
        <v>7.0999999999999994E-2</v>
      </c>
      <c r="J131">
        <v>0.63900000000000001</v>
      </c>
      <c r="K131">
        <v>8.7999999999999995E-2</v>
      </c>
      <c r="L131">
        <v>4.242</v>
      </c>
      <c r="M131">
        <v>3.5</v>
      </c>
      <c r="N131">
        <v>6</v>
      </c>
      <c r="O131">
        <v>600</v>
      </c>
      <c r="P131">
        <v>1</v>
      </c>
      <c r="Q131">
        <v>6</v>
      </c>
      <c r="R131">
        <v>85.713999999999999</v>
      </c>
      <c r="S131">
        <v>1</v>
      </c>
      <c r="T131" t="b">
        <v>0</v>
      </c>
      <c r="U131">
        <v>1</v>
      </c>
      <c r="V131">
        <v>4.25</v>
      </c>
      <c r="W131">
        <v>3.25</v>
      </c>
      <c r="X131">
        <v>9.125</v>
      </c>
      <c r="Y131">
        <v>1</v>
      </c>
      <c r="Z131">
        <v>2</v>
      </c>
    </row>
    <row r="132" spans="1:26">
      <c r="A132">
        <v>35</v>
      </c>
      <c r="B132" s="2">
        <v>45913.838247612854</v>
      </c>
      <c r="C132" s="5">
        <v>45881.792376302081</v>
      </c>
      <c r="D132" s="5">
        <v>45945.884118923612</v>
      </c>
      <c r="E132" s="6">
        <f>_xlfn.DAYS(Tabelle1[[#This Row],[End-Zeitfenster]],Tabelle1[[#This Row],[Start-Zeitfenster]])</f>
        <v>64</v>
      </c>
      <c r="F132">
        <v>1</v>
      </c>
      <c r="G132">
        <v>5</v>
      </c>
      <c r="H132">
        <v>1</v>
      </c>
      <c r="I132">
        <v>8.6999999999999994E-2</v>
      </c>
      <c r="J132">
        <v>0.92800000000000005</v>
      </c>
      <c r="K132">
        <v>0.19400000000000001</v>
      </c>
      <c r="L132">
        <v>3.03</v>
      </c>
      <c r="M132">
        <v>2.5</v>
      </c>
      <c r="N132">
        <v>4</v>
      </c>
      <c r="O132">
        <v>400</v>
      </c>
      <c r="P132">
        <v>1</v>
      </c>
      <c r="Q132">
        <v>4</v>
      </c>
      <c r="R132">
        <v>80</v>
      </c>
      <c r="S132">
        <v>1</v>
      </c>
      <c r="T132" t="b">
        <v>0</v>
      </c>
      <c r="U132">
        <v>1</v>
      </c>
      <c r="V132">
        <v>4.25</v>
      </c>
      <c r="W132">
        <v>3.25</v>
      </c>
      <c r="X132">
        <v>9.125</v>
      </c>
      <c r="Y132">
        <v>1</v>
      </c>
      <c r="Z132">
        <v>3</v>
      </c>
    </row>
    <row r="133" spans="1:26">
      <c r="A133">
        <v>35</v>
      </c>
      <c r="B133" s="2">
        <v>45337.012564019104</v>
      </c>
      <c r="C133" s="5">
        <v>45272.920821397573</v>
      </c>
      <c r="D133" s="5">
        <v>45369.058435329862</v>
      </c>
      <c r="E133" s="6">
        <f>_xlfn.DAYS(Tabelle1[[#This Row],[End-Zeitfenster]],Tabelle1[[#This Row],[Start-Zeitfenster]])</f>
        <v>97</v>
      </c>
      <c r="F133">
        <v>1</v>
      </c>
      <c r="G133">
        <v>4</v>
      </c>
      <c r="H133">
        <v>1</v>
      </c>
      <c r="I133">
        <v>7.2999999999999995E-2</v>
      </c>
      <c r="J133">
        <v>0.254</v>
      </c>
      <c r="K133">
        <v>9.7000000000000003E-2</v>
      </c>
      <c r="L133">
        <v>2.4239999999999999</v>
      </c>
      <c r="M133">
        <v>2</v>
      </c>
      <c r="N133">
        <v>3</v>
      </c>
      <c r="O133">
        <v>300</v>
      </c>
      <c r="P133">
        <v>2</v>
      </c>
      <c r="Q133">
        <v>3</v>
      </c>
      <c r="R133">
        <v>75</v>
      </c>
      <c r="S133">
        <v>1</v>
      </c>
      <c r="T133" t="b">
        <v>0</v>
      </c>
      <c r="U133">
        <v>1</v>
      </c>
      <c r="V133">
        <v>4.25</v>
      </c>
      <c r="W133">
        <v>3.25</v>
      </c>
      <c r="X133">
        <v>9.125</v>
      </c>
      <c r="Y133">
        <v>1</v>
      </c>
      <c r="Z133">
        <v>4</v>
      </c>
    </row>
    <row r="134" spans="1:26">
      <c r="A134">
        <v>35</v>
      </c>
      <c r="B134" s="2">
        <v>45433.150177951393</v>
      </c>
      <c r="C134" s="5">
        <v>45369.058435329862</v>
      </c>
      <c r="D134" s="5">
        <v>45497.241920572917</v>
      </c>
      <c r="E134" s="6">
        <f>_xlfn.DAYS(Tabelle1[[#This Row],[End-Zeitfenster]],Tabelle1[[#This Row],[Start-Zeitfenster]])</f>
        <v>128</v>
      </c>
      <c r="F134">
        <v>1</v>
      </c>
      <c r="G134">
        <v>3</v>
      </c>
      <c r="H134">
        <v>1</v>
      </c>
      <c r="I134">
        <v>9.7000000000000003E-2</v>
      </c>
      <c r="J134">
        <v>0.1</v>
      </c>
      <c r="K134">
        <v>7.0999999999999994E-2</v>
      </c>
      <c r="L134">
        <v>1.8180000000000001</v>
      </c>
      <c r="M134">
        <v>1.5</v>
      </c>
      <c r="N134">
        <v>2</v>
      </c>
      <c r="O134">
        <v>200</v>
      </c>
      <c r="P134">
        <v>2</v>
      </c>
      <c r="Q134">
        <v>2</v>
      </c>
      <c r="R134">
        <v>66.667000000000002</v>
      </c>
      <c r="S134">
        <v>2</v>
      </c>
      <c r="T134" t="b">
        <v>0</v>
      </c>
      <c r="U134">
        <v>1</v>
      </c>
      <c r="V134">
        <v>4.25</v>
      </c>
      <c r="W134">
        <v>3.25</v>
      </c>
      <c r="X134">
        <v>9.125</v>
      </c>
      <c r="Y134">
        <v>1</v>
      </c>
      <c r="Z134">
        <v>5</v>
      </c>
    </row>
    <row r="135" spans="1:26">
      <c r="A135">
        <v>38</v>
      </c>
      <c r="B135" s="2">
        <v>45433.150177951393</v>
      </c>
      <c r="C135" s="5">
        <v>45369.058435329862</v>
      </c>
      <c r="D135" s="5">
        <v>45465.196049262151</v>
      </c>
      <c r="E135" s="6">
        <f>_xlfn.DAYS(Tabelle1[[#This Row],[End-Zeitfenster]],Tabelle1[[#This Row],[Start-Zeitfenster]])</f>
        <v>96</v>
      </c>
      <c r="F135">
        <v>2</v>
      </c>
      <c r="G135">
        <v>32</v>
      </c>
      <c r="H135">
        <v>3</v>
      </c>
      <c r="I135">
        <v>0.19400000000000001</v>
      </c>
      <c r="J135">
        <v>1.0609999999999999</v>
      </c>
      <c r="K135">
        <v>0.19700000000000001</v>
      </c>
      <c r="L135">
        <v>23.704000000000001</v>
      </c>
      <c r="M135">
        <v>16</v>
      </c>
      <c r="N135">
        <v>30</v>
      </c>
      <c r="O135">
        <v>1500</v>
      </c>
      <c r="P135">
        <v>1</v>
      </c>
      <c r="Q135">
        <v>29</v>
      </c>
      <c r="R135">
        <v>90.625</v>
      </c>
      <c r="S135">
        <v>1</v>
      </c>
      <c r="T135" t="b">
        <v>1</v>
      </c>
      <c r="U135">
        <v>2</v>
      </c>
      <c r="V135">
        <v>8</v>
      </c>
      <c r="W135">
        <v>6</v>
      </c>
      <c r="X135">
        <v>17</v>
      </c>
      <c r="Y135">
        <v>1</v>
      </c>
      <c r="Z135">
        <v>1</v>
      </c>
    </row>
    <row r="136" spans="1:26">
      <c r="A136">
        <v>38</v>
      </c>
      <c r="B136" s="2">
        <v>45657.471277126737</v>
      </c>
      <c r="C136" s="5">
        <v>45625.425405815971</v>
      </c>
      <c r="D136" s="5">
        <v>45721.563019748261</v>
      </c>
      <c r="E136" s="6">
        <f>_xlfn.DAYS(Tabelle1[[#This Row],[End-Zeitfenster]],Tabelle1[[#This Row],[Start-Zeitfenster]])</f>
        <v>96</v>
      </c>
      <c r="F136">
        <v>1</v>
      </c>
      <c r="G136">
        <v>19</v>
      </c>
      <c r="H136">
        <v>2</v>
      </c>
      <c r="I136">
        <v>8.3000000000000004E-2</v>
      </c>
      <c r="J136">
        <v>0.51500000000000001</v>
      </c>
      <c r="K136">
        <v>0.38900000000000001</v>
      </c>
      <c r="L136">
        <v>14.074</v>
      </c>
      <c r="M136">
        <v>9.5</v>
      </c>
      <c r="N136">
        <v>18</v>
      </c>
      <c r="O136">
        <v>1800</v>
      </c>
      <c r="P136">
        <v>1</v>
      </c>
      <c r="Q136">
        <v>17</v>
      </c>
      <c r="R136">
        <v>89.474000000000004</v>
      </c>
      <c r="S136">
        <v>2</v>
      </c>
      <c r="T136" t="b">
        <v>1</v>
      </c>
      <c r="U136">
        <v>2</v>
      </c>
      <c r="V136">
        <v>8</v>
      </c>
      <c r="W136">
        <v>6</v>
      </c>
      <c r="X136">
        <v>17</v>
      </c>
      <c r="Y136">
        <v>1</v>
      </c>
      <c r="Z136">
        <v>2</v>
      </c>
    </row>
    <row r="137" spans="1:26">
      <c r="A137">
        <v>38</v>
      </c>
      <c r="B137" s="2">
        <v>45529.287791883682</v>
      </c>
      <c r="C137" s="5">
        <v>45465.196049262151</v>
      </c>
      <c r="D137" s="5">
        <v>45593.379534505213</v>
      </c>
      <c r="E137" s="6">
        <f>_xlfn.DAYS(Tabelle1[[#This Row],[End-Zeitfenster]],Tabelle1[[#This Row],[Start-Zeitfenster]])</f>
        <v>128</v>
      </c>
      <c r="F137">
        <v>3</v>
      </c>
      <c r="G137">
        <v>11</v>
      </c>
      <c r="H137">
        <v>1</v>
      </c>
      <c r="I137">
        <v>0.19700000000000001</v>
      </c>
      <c r="J137">
        <v>1.0049999999999999</v>
      </c>
      <c r="K137">
        <v>0.128</v>
      </c>
      <c r="L137">
        <v>8.1479999999999997</v>
      </c>
      <c r="M137">
        <v>5.5</v>
      </c>
      <c r="N137">
        <v>8</v>
      </c>
      <c r="O137">
        <v>266.66699999999997</v>
      </c>
      <c r="P137">
        <v>2</v>
      </c>
      <c r="Q137">
        <v>10</v>
      </c>
      <c r="R137">
        <v>90.909000000000006</v>
      </c>
      <c r="S137">
        <v>1</v>
      </c>
      <c r="T137" t="b">
        <v>0</v>
      </c>
      <c r="U137">
        <v>2</v>
      </c>
      <c r="V137">
        <v>8</v>
      </c>
      <c r="W137">
        <v>6</v>
      </c>
      <c r="X137">
        <v>17</v>
      </c>
      <c r="Y137">
        <v>1</v>
      </c>
      <c r="Z137">
        <v>3</v>
      </c>
    </row>
    <row r="138" spans="1:26">
      <c r="A138">
        <v>38</v>
      </c>
      <c r="B138" s="2">
        <v>45208.829078776042</v>
      </c>
      <c r="C138" s="5">
        <v>45176.783207465283</v>
      </c>
      <c r="D138" s="5">
        <v>45272.920821397573</v>
      </c>
      <c r="E138" s="6">
        <f>_xlfn.DAYS(Tabelle1[[#This Row],[End-Zeitfenster]],Tabelle1[[#This Row],[Start-Zeitfenster]])</f>
        <v>96</v>
      </c>
      <c r="F138">
        <v>2</v>
      </c>
      <c r="G138">
        <v>10</v>
      </c>
      <c r="H138">
        <v>1</v>
      </c>
      <c r="I138">
        <v>0.13700000000000001</v>
      </c>
      <c r="J138">
        <v>0.246</v>
      </c>
      <c r="K138">
        <v>7.2999999999999995E-2</v>
      </c>
      <c r="L138">
        <v>7.407</v>
      </c>
      <c r="M138">
        <v>5</v>
      </c>
      <c r="N138">
        <v>8</v>
      </c>
      <c r="O138">
        <v>400</v>
      </c>
      <c r="P138">
        <v>1</v>
      </c>
      <c r="Q138">
        <v>9</v>
      </c>
      <c r="R138">
        <v>90</v>
      </c>
      <c r="S138">
        <v>2</v>
      </c>
      <c r="T138" t="b">
        <v>0</v>
      </c>
      <c r="U138">
        <v>2</v>
      </c>
      <c r="V138">
        <v>8</v>
      </c>
      <c r="W138">
        <v>6</v>
      </c>
      <c r="X138">
        <v>17</v>
      </c>
      <c r="Y138">
        <v>1</v>
      </c>
      <c r="Z138">
        <v>4</v>
      </c>
    </row>
    <row r="139" spans="1:26">
      <c r="A139">
        <v>38</v>
      </c>
      <c r="B139" s="2">
        <v>45753.608891059033</v>
      </c>
      <c r="C139" s="5">
        <v>45721.563019748261</v>
      </c>
      <c r="D139" s="5">
        <v>45785.654762369792</v>
      </c>
      <c r="E139" s="6">
        <f>_xlfn.DAYS(Tabelle1[[#This Row],[End-Zeitfenster]],Tabelle1[[#This Row],[Start-Zeitfenster]])</f>
        <v>64</v>
      </c>
      <c r="F139">
        <v>2</v>
      </c>
      <c r="G139">
        <v>9</v>
      </c>
      <c r="H139">
        <v>1</v>
      </c>
      <c r="I139">
        <v>0.38900000000000001</v>
      </c>
      <c r="J139">
        <v>0.41</v>
      </c>
      <c r="K139">
        <v>7.8E-2</v>
      </c>
      <c r="L139">
        <v>6.6669999999999998</v>
      </c>
      <c r="M139">
        <v>4.5</v>
      </c>
      <c r="N139">
        <v>7</v>
      </c>
      <c r="O139">
        <v>350</v>
      </c>
      <c r="P139">
        <v>1</v>
      </c>
      <c r="Q139">
        <v>8</v>
      </c>
      <c r="R139">
        <v>88.888999999999996</v>
      </c>
      <c r="S139">
        <v>1</v>
      </c>
      <c r="T139" t="b">
        <v>0</v>
      </c>
      <c r="U139">
        <v>2</v>
      </c>
      <c r="V139">
        <v>8</v>
      </c>
      <c r="W139">
        <v>6</v>
      </c>
      <c r="X139">
        <v>17</v>
      </c>
      <c r="Y139">
        <v>1</v>
      </c>
      <c r="Z139">
        <v>5</v>
      </c>
    </row>
    <row r="140" spans="1:26">
      <c r="A140">
        <v>38</v>
      </c>
      <c r="B140" s="2">
        <v>45144.737336154511</v>
      </c>
      <c r="C140" s="5">
        <v>45112.691464843752</v>
      </c>
      <c r="D140" s="5">
        <v>45176.783207465283</v>
      </c>
      <c r="E140" s="6">
        <f>_xlfn.DAYS(Tabelle1[[#This Row],[End-Zeitfenster]],Tabelle1[[#This Row],[Start-Zeitfenster]])</f>
        <v>64</v>
      </c>
      <c r="F140">
        <v>1</v>
      </c>
      <c r="G140">
        <v>3</v>
      </c>
      <c r="H140">
        <v>2</v>
      </c>
      <c r="I140">
        <v>0.09</v>
      </c>
      <c r="J140">
        <v>0.36699999999999999</v>
      </c>
      <c r="K140">
        <v>0.13700000000000001</v>
      </c>
      <c r="L140">
        <v>2.222</v>
      </c>
      <c r="M140">
        <v>1.5</v>
      </c>
      <c r="N140">
        <v>2</v>
      </c>
      <c r="O140">
        <v>200</v>
      </c>
      <c r="P140">
        <v>1</v>
      </c>
      <c r="Q140">
        <v>1</v>
      </c>
      <c r="R140">
        <v>33.332999999999998</v>
      </c>
      <c r="S140">
        <v>1</v>
      </c>
      <c r="T140" t="b">
        <v>0</v>
      </c>
      <c r="U140">
        <v>2</v>
      </c>
      <c r="V140">
        <v>8</v>
      </c>
      <c r="W140">
        <v>6</v>
      </c>
      <c r="X140">
        <v>17</v>
      </c>
      <c r="Y140">
        <v>1</v>
      </c>
      <c r="Z140">
        <v>6</v>
      </c>
    </row>
    <row r="141" spans="1:26">
      <c r="A141">
        <v>38</v>
      </c>
      <c r="B141" s="2">
        <v>45881.792376302081</v>
      </c>
      <c r="C141" s="5">
        <v>45849.746504991323</v>
      </c>
      <c r="D141" s="5">
        <v>45945.884118923612</v>
      </c>
      <c r="E141" s="6">
        <f>_xlfn.DAYS(Tabelle1[[#This Row],[End-Zeitfenster]],Tabelle1[[#This Row],[Start-Zeitfenster]])</f>
        <v>96</v>
      </c>
      <c r="F141">
        <v>1</v>
      </c>
      <c r="G141">
        <v>3</v>
      </c>
      <c r="H141">
        <v>2</v>
      </c>
      <c r="I141">
        <v>0.114</v>
      </c>
      <c r="J141">
        <v>0.26200000000000001</v>
      </c>
      <c r="K141">
        <v>0.38800000000000001</v>
      </c>
      <c r="L141">
        <v>2.222</v>
      </c>
      <c r="M141">
        <v>1.5</v>
      </c>
      <c r="N141">
        <v>2</v>
      </c>
      <c r="O141">
        <v>200</v>
      </c>
      <c r="P141">
        <v>1</v>
      </c>
      <c r="Q141">
        <v>1</v>
      </c>
      <c r="R141">
        <v>33.332999999999998</v>
      </c>
      <c r="S141">
        <v>1</v>
      </c>
      <c r="T141" t="b">
        <v>0</v>
      </c>
      <c r="U141">
        <v>2</v>
      </c>
      <c r="V141">
        <v>8</v>
      </c>
      <c r="W141">
        <v>6</v>
      </c>
      <c r="X141">
        <v>17</v>
      </c>
      <c r="Y141">
        <v>1</v>
      </c>
      <c r="Z141">
        <v>7</v>
      </c>
    </row>
    <row r="142" spans="1:26">
      <c r="A142">
        <v>38</v>
      </c>
      <c r="B142" s="2">
        <v>45337.012564019104</v>
      </c>
      <c r="C142" s="5">
        <v>45272.920821397573</v>
      </c>
      <c r="D142" s="5">
        <v>45369.058435329862</v>
      </c>
      <c r="E142" s="6">
        <f>_xlfn.DAYS(Tabelle1[[#This Row],[End-Zeitfenster]],Tabelle1[[#This Row],[Start-Zeitfenster]])</f>
        <v>97</v>
      </c>
      <c r="F142">
        <v>1</v>
      </c>
      <c r="G142">
        <v>2</v>
      </c>
      <c r="H142">
        <v>2</v>
      </c>
      <c r="I142">
        <v>7.2999999999999995E-2</v>
      </c>
      <c r="J142">
        <v>0.127</v>
      </c>
      <c r="K142">
        <v>0.19400000000000001</v>
      </c>
      <c r="L142">
        <v>1.4810000000000001</v>
      </c>
      <c r="M142">
        <v>1</v>
      </c>
      <c r="N142">
        <v>1</v>
      </c>
      <c r="O142">
        <v>100</v>
      </c>
      <c r="P142">
        <v>1</v>
      </c>
      <c r="Q142">
        <v>0</v>
      </c>
      <c r="R142">
        <v>0</v>
      </c>
      <c r="S142">
        <v>1</v>
      </c>
      <c r="T142" t="b">
        <v>0</v>
      </c>
      <c r="U142">
        <v>2</v>
      </c>
      <c r="V142">
        <v>8</v>
      </c>
      <c r="W142">
        <v>6</v>
      </c>
      <c r="X142">
        <v>17</v>
      </c>
      <c r="Y142">
        <v>1</v>
      </c>
      <c r="Z142">
        <v>8</v>
      </c>
    </row>
    <row r="143" spans="1:26">
      <c r="A143">
        <v>38</v>
      </c>
      <c r="B143" s="2">
        <v>45817.700633680557</v>
      </c>
      <c r="C143" s="5">
        <v>45785.654762369792</v>
      </c>
      <c r="D143" s="5">
        <v>45849.746504991323</v>
      </c>
      <c r="E143" s="6">
        <f>_xlfn.DAYS(Tabelle1[[#This Row],[End-Zeitfenster]],Tabelle1[[#This Row],[Start-Zeitfenster]])</f>
        <v>64</v>
      </c>
      <c r="F143">
        <v>1</v>
      </c>
      <c r="G143">
        <v>2</v>
      </c>
      <c r="H143">
        <v>1</v>
      </c>
      <c r="I143">
        <v>7.8E-2</v>
      </c>
      <c r="J143">
        <v>0.28999999999999998</v>
      </c>
      <c r="K143">
        <v>0.114</v>
      </c>
      <c r="L143">
        <v>1.4810000000000001</v>
      </c>
      <c r="M143">
        <v>1</v>
      </c>
      <c r="N143">
        <v>1</v>
      </c>
      <c r="O143">
        <v>100</v>
      </c>
      <c r="P143">
        <v>1</v>
      </c>
      <c r="Q143">
        <v>1</v>
      </c>
      <c r="R143">
        <v>50</v>
      </c>
      <c r="S143">
        <v>1</v>
      </c>
      <c r="T143" t="b">
        <v>0</v>
      </c>
      <c r="U143">
        <v>2</v>
      </c>
      <c r="V143">
        <v>8</v>
      </c>
      <c r="W143">
        <v>6</v>
      </c>
      <c r="X143">
        <v>17</v>
      </c>
      <c r="Y143">
        <v>1</v>
      </c>
      <c r="Z143">
        <v>9</v>
      </c>
    </row>
    <row r="144" spans="1:26">
      <c r="A144">
        <v>40</v>
      </c>
      <c r="B144" s="2">
        <v>45304.966692708331</v>
      </c>
      <c r="C144" s="5">
        <v>45240.874950086807</v>
      </c>
      <c r="D144" s="5">
        <v>45369.058435329862</v>
      </c>
      <c r="E144" s="6">
        <f>_xlfn.DAYS(Tabelle1[[#This Row],[End-Zeitfenster]],Tabelle1[[#This Row],[Start-Zeitfenster]])</f>
        <v>129</v>
      </c>
      <c r="F144">
        <v>3</v>
      </c>
      <c r="G144">
        <v>10</v>
      </c>
      <c r="H144">
        <v>1</v>
      </c>
      <c r="I144">
        <v>0.153</v>
      </c>
      <c r="J144">
        <v>0.38300000000000001</v>
      </c>
      <c r="K144">
        <v>9.7000000000000003E-2</v>
      </c>
      <c r="L144">
        <v>7.7519999999999998</v>
      </c>
      <c r="M144">
        <v>2.5</v>
      </c>
      <c r="N144">
        <v>7</v>
      </c>
      <c r="O144">
        <v>233.333</v>
      </c>
      <c r="P144">
        <v>2</v>
      </c>
      <c r="Q144">
        <v>9</v>
      </c>
      <c r="R144">
        <v>90</v>
      </c>
      <c r="S144">
        <v>2</v>
      </c>
      <c r="T144" t="b">
        <v>1</v>
      </c>
      <c r="U144">
        <v>2</v>
      </c>
      <c r="V144">
        <v>5</v>
      </c>
      <c r="W144">
        <v>3</v>
      </c>
      <c r="X144">
        <v>9.5</v>
      </c>
      <c r="Y144">
        <v>1</v>
      </c>
      <c r="Z144">
        <v>1</v>
      </c>
    </row>
    <row r="145" spans="1:26">
      <c r="A145">
        <v>40</v>
      </c>
      <c r="B145" s="2">
        <v>45433.150177951393</v>
      </c>
      <c r="C145" s="5">
        <v>45369.058435329862</v>
      </c>
      <c r="D145" s="5">
        <v>45529.287791883682</v>
      </c>
      <c r="E145" s="6">
        <f>_xlfn.DAYS(Tabelle1[[#This Row],[End-Zeitfenster]],Tabelle1[[#This Row],[Start-Zeitfenster]])</f>
        <v>160</v>
      </c>
      <c r="F145">
        <v>1</v>
      </c>
      <c r="G145">
        <v>10</v>
      </c>
      <c r="H145">
        <v>1</v>
      </c>
      <c r="I145">
        <v>9.7000000000000003E-2</v>
      </c>
      <c r="J145">
        <v>0.33200000000000002</v>
      </c>
      <c r="K145">
        <v>9.0999999999999998E-2</v>
      </c>
      <c r="L145">
        <v>7.7519999999999998</v>
      </c>
      <c r="M145">
        <v>2.5</v>
      </c>
      <c r="N145">
        <v>9</v>
      </c>
      <c r="O145">
        <v>900</v>
      </c>
      <c r="P145">
        <v>2</v>
      </c>
      <c r="Q145">
        <v>9</v>
      </c>
      <c r="R145">
        <v>90</v>
      </c>
      <c r="S145">
        <v>3</v>
      </c>
      <c r="T145" t="b">
        <v>1</v>
      </c>
      <c r="U145">
        <v>2</v>
      </c>
      <c r="V145">
        <v>5</v>
      </c>
      <c r="W145">
        <v>3</v>
      </c>
      <c r="X145">
        <v>9.5</v>
      </c>
      <c r="Y145">
        <v>1</v>
      </c>
      <c r="Z145">
        <v>2</v>
      </c>
    </row>
    <row r="146" spans="1:26">
      <c r="A146">
        <v>40</v>
      </c>
      <c r="B146" s="2">
        <v>45657.471277126737</v>
      </c>
      <c r="C146" s="5">
        <v>45625.425405815971</v>
      </c>
      <c r="D146" s="5">
        <v>45689.517148437502</v>
      </c>
      <c r="E146" s="6">
        <f>_xlfn.DAYS(Tabelle1[[#This Row],[End-Zeitfenster]],Tabelle1[[#This Row],[Start-Zeitfenster]])</f>
        <v>64</v>
      </c>
      <c r="F146">
        <v>2</v>
      </c>
      <c r="G146">
        <v>10</v>
      </c>
      <c r="H146">
        <v>3</v>
      </c>
      <c r="I146">
        <v>0.16700000000000001</v>
      </c>
      <c r="J146">
        <v>0.27100000000000002</v>
      </c>
      <c r="K146">
        <v>0.107</v>
      </c>
      <c r="L146">
        <v>7.7519999999999998</v>
      </c>
      <c r="M146">
        <v>2.5</v>
      </c>
      <c r="N146">
        <v>8</v>
      </c>
      <c r="O146">
        <v>400</v>
      </c>
      <c r="P146">
        <v>1</v>
      </c>
      <c r="Q146">
        <v>7</v>
      </c>
      <c r="R146">
        <v>70</v>
      </c>
      <c r="S146">
        <v>1</v>
      </c>
      <c r="T146" t="b">
        <v>1</v>
      </c>
      <c r="U146">
        <v>2</v>
      </c>
      <c r="V146">
        <v>5</v>
      </c>
      <c r="W146">
        <v>3</v>
      </c>
      <c r="X146">
        <v>9.5</v>
      </c>
      <c r="Y146">
        <v>1</v>
      </c>
      <c r="Z146">
        <v>3</v>
      </c>
    </row>
    <row r="147" spans="1:26">
      <c r="A147">
        <v>40</v>
      </c>
      <c r="B147" s="2">
        <v>45144.737336154511</v>
      </c>
      <c r="C147" s="5">
        <v>45080.645593532987</v>
      </c>
      <c r="D147" s="5">
        <v>45176.783207465283</v>
      </c>
      <c r="E147" s="6">
        <f>_xlfn.DAYS(Tabelle1[[#This Row],[End-Zeitfenster]],Tabelle1[[#This Row],[Start-Zeitfenster]])</f>
        <v>96</v>
      </c>
      <c r="F147">
        <v>3</v>
      </c>
      <c r="G147">
        <v>9</v>
      </c>
      <c r="H147">
        <v>1</v>
      </c>
      <c r="I147">
        <v>0.18</v>
      </c>
      <c r="J147">
        <v>1.1000000000000001</v>
      </c>
      <c r="K147">
        <v>6.8000000000000005E-2</v>
      </c>
      <c r="L147">
        <v>6.9770000000000003</v>
      </c>
      <c r="M147">
        <v>2.25</v>
      </c>
      <c r="N147">
        <v>6</v>
      </c>
      <c r="O147">
        <v>200</v>
      </c>
      <c r="P147">
        <v>2</v>
      </c>
      <c r="Q147">
        <v>8</v>
      </c>
      <c r="R147">
        <v>88.888999999999996</v>
      </c>
      <c r="S147">
        <v>1</v>
      </c>
      <c r="T147" t="b">
        <v>0</v>
      </c>
      <c r="U147">
        <v>2</v>
      </c>
      <c r="V147">
        <v>5</v>
      </c>
      <c r="W147">
        <v>3</v>
      </c>
      <c r="X147">
        <v>9.5</v>
      </c>
      <c r="Y147">
        <v>1</v>
      </c>
      <c r="Z147">
        <v>4</v>
      </c>
    </row>
    <row r="148" spans="1:26">
      <c r="A148">
        <v>40</v>
      </c>
      <c r="B148" s="2">
        <v>45208.829078776042</v>
      </c>
      <c r="C148" s="5">
        <v>45176.783207465283</v>
      </c>
      <c r="D148" s="5">
        <v>45240.874950086807</v>
      </c>
      <c r="E148" s="6">
        <f>_xlfn.DAYS(Tabelle1[[#This Row],[End-Zeitfenster]],Tabelle1[[#This Row],[Start-Zeitfenster]])</f>
        <v>64</v>
      </c>
      <c r="F148">
        <v>1</v>
      </c>
      <c r="G148">
        <v>9</v>
      </c>
      <c r="H148">
        <v>3</v>
      </c>
      <c r="I148">
        <v>6.8000000000000005E-2</v>
      </c>
      <c r="J148">
        <v>0.222</v>
      </c>
      <c r="K148">
        <v>0.153</v>
      </c>
      <c r="L148">
        <v>6.9770000000000003</v>
      </c>
      <c r="M148">
        <v>2.25</v>
      </c>
      <c r="N148">
        <v>8</v>
      </c>
      <c r="O148">
        <v>800</v>
      </c>
      <c r="P148">
        <v>1</v>
      </c>
      <c r="Q148">
        <v>6</v>
      </c>
      <c r="R148">
        <v>66.667000000000002</v>
      </c>
      <c r="S148">
        <v>1</v>
      </c>
      <c r="T148" t="b">
        <v>0</v>
      </c>
      <c r="U148">
        <v>2</v>
      </c>
      <c r="V148">
        <v>5</v>
      </c>
      <c r="W148">
        <v>3</v>
      </c>
      <c r="X148">
        <v>9.5</v>
      </c>
      <c r="Y148">
        <v>1</v>
      </c>
      <c r="Z148">
        <v>5</v>
      </c>
    </row>
    <row r="149" spans="1:26">
      <c r="A149">
        <v>40</v>
      </c>
      <c r="B149" s="2">
        <v>45561.333663194448</v>
      </c>
      <c r="C149" s="5">
        <v>45529.287791883682</v>
      </c>
      <c r="D149" s="5">
        <v>45625.425405815971</v>
      </c>
      <c r="E149" s="6">
        <f>_xlfn.DAYS(Tabelle1[[#This Row],[End-Zeitfenster]],Tabelle1[[#This Row],[Start-Zeitfenster]])</f>
        <v>96</v>
      </c>
      <c r="F149">
        <v>1</v>
      </c>
      <c r="G149">
        <v>9</v>
      </c>
      <c r="H149">
        <v>2</v>
      </c>
      <c r="I149">
        <v>9.0999999999999998E-2</v>
      </c>
      <c r="J149">
        <v>0.78900000000000003</v>
      </c>
      <c r="K149">
        <v>0.16700000000000001</v>
      </c>
      <c r="L149">
        <v>6.9770000000000003</v>
      </c>
      <c r="M149">
        <v>2.25</v>
      </c>
      <c r="N149">
        <v>8</v>
      </c>
      <c r="O149">
        <v>800</v>
      </c>
      <c r="P149">
        <v>1</v>
      </c>
      <c r="Q149">
        <v>7</v>
      </c>
      <c r="R149">
        <v>77.778000000000006</v>
      </c>
      <c r="S149">
        <v>2</v>
      </c>
      <c r="T149" t="b">
        <v>0</v>
      </c>
      <c r="U149">
        <v>2</v>
      </c>
      <c r="V149">
        <v>5</v>
      </c>
      <c r="W149">
        <v>3</v>
      </c>
      <c r="X149">
        <v>9.5</v>
      </c>
      <c r="Y149">
        <v>1</v>
      </c>
      <c r="Z149">
        <v>6</v>
      </c>
    </row>
    <row r="150" spans="1:26">
      <c r="A150">
        <v>40</v>
      </c>
      <c r="B150" s="2">
        <v>45785.654762369792</v>
      </c>
      <c r="C150" s="5">
        <v>45721.563019748261</v>
      </c>
      <c r="D150" s="5">
        <v>45817.700633680557</v>
      </c>
      <c r="E150" s="6">
        <f>_xlfn.DAYS(Tabelle1[[#This Row],[End-Zeitfenster]],Tabelle1[[#This Row],[Start-Zeitfenster]])</f>
        <v>96</v>
      </c>
      <c r="F150">
        <v>3</v>
      </c>
      <c r="G150">
        <v>5</v>
      </c>
      <c r="H150">
        <v>1</v>
      </c>
      <c r="I150">
        <v>0.58399999999999996</v>
      </c>
      <c r="J150">
        <v>0.39100000000000001</v>
      </c>
      <c r="K150">
        <v>0.14499999999999999</v>
      </c>
      <c r="L150">
        <v>3.8759999999999999</v>
      </c>
      <c r="M150">
        <v>1.25</v>
      </c>
      <c r="N150">
        <v>2</v>
      </c>
      <c r="O150">
        <v>66.667000000000002</v>
      </c>
      <c r="P150">
        <v>2</v>
      </c>
      <c r="Q150">
        <v>4</v>
      </c>
      <c r="R150">
        <v>80</v>
      </c>
      <c r="S150">
        <v>1</v>
      </c>
      <c r="T150" t="b">
        <v>0</v>
      </c>
      <c r="U150">
        <v>2</v>
      </c>
      <c r="V150">
        <v>5</v>
      </c>
      <c r="W150">
        <v>3</v>
      </c>
      <c r="X150">
        <v>9.5</v>
      </c>
      <c r="Y150">
        <v>1</v>
      </c>
      <c r="Z150">
        <v>7</v>
      </c>
    </row>
    <row r="151" spans="1:26">
      <c r="A151">
        <v>40</v>
      </c>
      <c r="B151" s="2">
        <v>45849.746504991323</v>
      </c>
      <c r="C151" s="5">
        <v>45817.700633680557</v>
      </c>
      <c r="D151" s="5">
        <v>46009.975861545143</v>
      </c>
      <c r="E151" s="6">
        <f>_xlfn.DAYS(Tabelle1[[#This Row],[End-Zeitfenster]],Tabelle1[[#This Row],[Start-Zeitfenster]])</f>
        <v>192</v>
      </c>
      <c r="F151">
        <v>1</v>
      </c>
      <c r="G151">
        <v>4</v>
      </c>
      <c r="H151">
        <v>1</v>
      </c>
      <c r="I151">
        <v>0.14499999999999999</v>
      </c>
      <c r="J151">
        <v>0.45600000000000002</v>
      </c>
      <c r="K151">
        <v>0.23499999999999999</v>
      </c>
      <c r="L151">
        <v>3.101</v>
      </c>
      <c r="M151">
        <v>1</v>
      </c>
      <c r="N151">
        <v>3</v>
      </c>
      <c r="O151">
        <v>300</v>
      </c>
      <c r="P151">
        <v>1</v>
      </c>
      <c r="Q151">
        <v>3</v>
      </c>
      <c r="R151">
        <v>75</v>
      </c>
      <c r="S151">
        <v>3</v>
      </c>
      <c r="T151" t="b">
        <v>0</v>
      </c>
      <c r="U151">
        <v>2</v>
      </c>
      <c r="V151">
        <v>5</v>
      </c>
      <c r="W151">
        <v>3</v>
      </c>
      <c r="X151">
        <v>9.5</v>
      </c>
      <c r="Y151">
        <v>1</v>
      </c>
      <c r="Z151">
        <v>8</v>
      </c>
    </row>
    <row r="152" spans="1:26">
      <c r="A152">
        <v>41</v>
      </c>
      <c r="B152" s="2">
        <v>45433.150177951393</v>
      </c>
      <c r="C152" s="5">
        <v>45369.058435329862</v>
      </c>
      <c r="D152" s="5">
        <v>45497.241920572917</v>
      </c>
      <c r="E152" s="6">
        <f>_xlfn.DAYS(Tabelle1[[#This Row],[End-Zeitfenster]],Tabelle1[[#This Row],[Start-Zeitfenster]])</f>
        <v>128</v>
      </c>
      <c r="F152">
        <v>3</v>
      </c>
      <c r="G152">
        <v>24</v>
      </c>
      <c r="H152">
        <v>2</v>
      </c>
      <c r="I152">
        <v>0.29099999999999998</v>
      </c>
      <c r="J152">
        <v>0.79600000000000004</v>
      </c>
      <c r="K152">
        <v>0.14299999999999999</v>
      </c>
      <c r="L152">
        <v>19.2</v>
      </c>
      <c r="M152">
        <v>6</v>
      </c>
      <c r="N152">
        <v>21</v>
      </c>
      <c r="O152">
        <v>700</v>
      </c>
      <c r="P152">
        <v>2</v>
      </c>
      <c r="Q152">
        <v>22</v>
      </c>
      <c r="R152">
        <v>91.667000000000002</v>
      </c>
      <c r="S152">
        <v>2</v>
      </c>
      <c r="T152" t="b">
        <v>1</v>
      </c>
      <c r="U152">
        <v>1.75</v>
      </c>
      <c r="V152">
        <v>7</v>
      </c>
      <c r="W152">
        <v>5.25</v>
      </c>
      <c r="X152">
        <v>14.875</v>
      </c>
      <c r="Y152">
        <v>1</v>
      </c>
      <c r="Z152">
        <v>1</v>
      </c>
    </row>
    <row r="153" spans="1:26">
      <c r="A153">
        <v>41</v>
      </c>
      <c r="B153" s="2">
        <v>45753.608891059033</v>
      </c>
      <c r="C153" s="5">
        <v>45657.471277126737</v>
      </c>
      <c r="D153" s="5">
        <v>45849.746504991323</v>
      </c>
      <c r="E153" s="6">
        <f>_xlfn.DAYS(Tabelle1[[#This Row],[End-Zeitfenster]],Tabelle1[[#This Row],[Start-Zeitfenster]])</f>
        <v>192</v>
      </c>
      <c r="F153">
        <v>4</v>
      </c>
      <c r="G153">
        <v>15</v>
      </c>
      <c r="H153">
        <v>1</v>
      </c>
      <c r="I153">
        <v>0.108</v>
      </c>
      <c r="J153">
        <v>0.68300000000000005</v>
      </c>
      <c r="K153">
        <v>0.114</v>
      </c>
      <c r="L153">
        <v>12</v>
      </c>
      <c r="M153">
        <v>3.75</v>
      </c>
      <c r="N153">
        <v>11</v>
      </c>
      <c r="O153">
        <v>275</v>
      </c>
      <c r="P153">
        <v>2</v>
      </c>
      <c r="Q153">
        <v>14</v>
      </c>
      <c r="R153">
        <v>93.332999999999998</v>
      </c>
      <c r="S153">
        <v>2</v>
      </c>
      <c r="T153" t="b">
        <v>1</v>
      </c>
      <c r="U153">
        <v>1.75</v>
      </c>
      <c r="V153">
        <v>7</v>
      </c>
      <c r="W153">
        <v>5.25</v>
      </c>
      <c r="X153">
        <v>14.875</v>
      </c>
      <c r="Y153">
        <v>1</v>
      </c>
      <c r="Z153">
        <v>2</v>
      </c>
    </row>
    <row r="154" spans="1:26">
      <c r="A154">
        <v>41</v>
      </c>
      <c r="B154" s="2">
        <v>45080.645593532987</v>
      </c>
      <c r="C154" s="5">
        <v>45047.574254340281</v>
      </c>
      <c r="D154" s="5">
        <v>45112.691464843752</v>
      </c>
      <c r="E154" s="6">
        <f>_xlfn.DAYS(Tabelle1[[#This Row],[End-Zeitfenster]],Tabelle1[[#This Row],[Start-Zeitfenster]])</f>
        <v>65</v>
      </c>
      <c r="F154">
        <v>1</v>
      </c>
      <c r="G154">
        <v>10</v>
      </c>
      <c r="H154">
        <v>1</v>
      </c>
      <c r="I154">
        <v>0.16400000000000001</v>
      </c>
      <c r="J154">
        <v>0.60099999999999998</v>
      </c>
      <c r="K154">
        <v>0.09</v>
      </c>
      <c r="L154">
        <v>8</v>
      </c>
      <c r="M154">
        <v>2.5</v>
      </c>
      <c r="N154">
        <v>9</v>
      </c>
      <c r="O154">
        <v>900</v>
      </c>
      <c r="P154">
        <v>1</v>
      </c>
      <c r="Q154">
        <v>9</v>
      </c>
      <c r="R154">
        <v>90</v>
      </c>
      <c r="S154">
        <v>1</v>
      </c>
      <c r="T154" t="b">
        <v>0</v>
      </c>
      <c r="U154">
        <v>1.75</v>
      </c>
      <c r="V154">
        <v>7</v>
      </c>
      <c r="W154">
        <v>5.25</v>
      </c>
      <c r="X154">
        <v>14.875</v>
      </c>
      <c r="Y154">
        <v>1</v>
      </c>
      <c r="Z154">
        <v>3</v>
      </c>
    </row>
    <row r="155" spans="1:26">
      <c r="A155">
        <v>41</v>
      </c>
      <c r="B155" s="2">
        <v>45208.829078776042</v>
      </c>
      <c r="C155" s="5">
        <v>45144.737336154511</v>
      </c>
      <c r="D155" s="5">
        <v>45369.058435329862</v>
      </c>
      <c r="E155" s="6">
        <f>_xlfn.DAYS(Tabelle1[[#This Row],[End-Zeitfenster]],Tabelle1[[#This Row],[Start-Zeitfenster]])</f>
        <v>225</v>
      </c>
      <c r="F155">
        <v>1</v>
      </c>
      <c r="G155">
        <v>7</v>
      </c>
      <c r="H155">
        <v>3</v>
      </c>
      <c r="I155">
        <v>0.122</v>
      </c>
      <c r="J155">
        <v>0.17199999999999999</v>
      </c>
      <c r="K155">
        <v>0.29099999999999998</v>
      </c>
      <c r="L155">
        <v>5.6</v>
      </c>
      <c r="M155">
        <v>1.75</v>
      </c>
      <c r="N155">
        <v>6</v>
      </c>
      <c r="O155">
        <v>600</v>
      </c>
      <c r="P155">
        <v>1</v>
      </c>
      <c r="Q155">
        <v>4</v>
      </c>
      <c r="R155">
        <v>57.143000000000001</v>
      </c>
      <c r="S155">
        <v>2</v>
      </c>
      <c r="T155" t="b">
        <v>0</v>
      </c>
      <c r="U155">
        <v>1.75</v>
      </c>
      <c r="V155">
        <v>7</v>
      </c>
      <c r="W155">
        <v>5.25</v>
      </c>
      <c r="X155">
        <v>14.875</v>
      </c>
      <c r="Y155">
        <v>1</v>
      </c>
      <c r="Z155">
        <v>4</v>
      </c>
    </row>
    <row r="156" spans="1:26">
      <c r="A156">
        <v>41</v>
      </c>
      <c r="B156" s="2">
        <v>45625.425405815971</v>
      </c>
      <c r="C156" s="5">
        <v>45561.333663194448</v>
      </c>
      <c r="D156" s="5">
        <v>45657.471277126737</v>
      </c>
      <c r="E156" s="6">
        <f>_xlfn.DAYS(Tabelle1[[#This Row],[End-Zeitfenster]],Tabelle1[[#This Row],[Start-Zeitfenster]])</f>
        <v>96</v>
      </c>
      <c r="F156">
        <v>1</v>
      </c>
      <c r="G156">
        <v>7</v>
      </c>
      <c r="H156">
        <v>4</v>
      </c>
      <c r="I156">
        <v>8.7999999999999995E-2</v>
      </c>
      <c r="J156">
        <v>0.58399999999999996</v>
      </c>
      <c r="K156">
        <v>0.108</v>
      </c>
      <c r="L156">
        <v>5.6</v>
      </c>
      <c r="M156">
        <v>1.75</v>
      </c>
      <c r="N156">
        <v>6</v>
      </c>
      <c r="O156">
        <v>600</v>
      </c>
      <c r="P156">
        <v>2</v>
      </c>
      <c r="Q156">
        <v>3</v>
      </c>
      <c r="R156">
        <v>42.856999999999999</v>
      </c>
      <c r="S156">
        <v>1</v>
      </c>
      <c r="T156" t="b">
        <v>0</v>
      </c>
      <c r="U156">
        <v>1.75</v>
      </c>
      <c r="V156">
        <v>7</v>
      </c>
      <c r="W156">
        <v>5.25</v>
      </c>
      <c r="X156">
        <v>14.875</v>
      </c>
      <c r="Y156">
        <v>1</v>
      </c>
      <c r="Z156">
        <v>5</v>
      </c>
    </row>
    <row r="157" spans="1:26">
      <c r="A157">
        <v>41</v>
      </c>
      <c r="B157" s="2">
        <v>45881.792376302081</v>
      </c>
      <c r="C157" s="5">
        <v>45849.746504991323</v>
      </c>
      <c r="D157" s="5">
        <v>45945.884118923612</v>
      </c>
      <c r="E157" s="6">
        <f>_xlfn.DAYS(Tabelle1[[#This Row],[End-Zeitfenster]],Tabelle1[[#This Row],[Start-Zeitfenster]])</f>
        <v>96</v>
      </c>
      <c r="F157">
        <v>1</v>
      </c>
      <c r="G157">
        <v>7</v>
      </c>
      <c r="H157">
        <v>1</v>
      </c>
      <c r="I157">
        <v>0.114</v>
      </c>
      <c r="J157">
        <v>0.61099999999999999</v>
      </c>
      <c r="K157">
        <v>0.19400000000000001</v>
      </c>
      <c r="L157">
        <v>5.6</v>
      </c>
      <c r="M157">
        <v>1.75</v>
      </c>
      <c r="N157">
        <v>6</v>
      </c>
      <c r="O157">
        <v>600</v>
      </c>
      <c r="P157">
        <v>1</v>
      </c>
      <c r="Q157">
        <v>6</v>
      </c>
      <c r="R157">
        <v>85.713999999999999</v>
      </c>
      <c r="S157">
        <v>1</v>
      </c>
      <c r="T157" t="b">
        <v>0</v>
      </c>
      <c r="U157">
        <v>1.75</v>
      </c>
      <c r="V157">
        <v>7</v>
      </c>
      <c r="W157">
        <v>5.25</v>
      </c>
      <c r="X157">
        <v>14.875</v>
      </c>
      <c r="Y157">
        <v>1</v>
      </c>
      <c r="Z157">
        <v>6</v>
      </c>
    </row>
    <row r="158" spans="1:26">
      <c r="A158">
        <v>41</v>
      </c>
      <c r="B158" s="2">
        <v>45529.287791883682</v>
      </c>
      <c r="C158" s="5">
        <v>45497.241920572917</v>
      </c>
      <c r="D158" s="5">
        <v>45561.333663194448</v>
      </c>
      <c r="E158" s="6">
        <f>_xlfn.DAYS(Tabelle1[[#This Row],[End-Zeitfenster]],Tabelle1[[#This Row],[Start-Zeitfenster]])</f>
        <v>64</v>
      </c>
      <c r="F158">
        <v>2</v>
      </c>
      <c r="G158">
        <v>5</v>
      </c>
      <c r="H158">
        <v>1</v>
      </c>
      <c r="I158">
        <v>0.14299999999999999</v>
      </c>
      <c r="J158">
        <v>0.45700000000000002</v>
      </c>
      <c r="K158">
        <v>8.7999999999999995E-2</v>
      </c>
      <c r="L158">
        <v>4</v>
      </c>
      <c r="M158">
        <v>1.25</v>
      </c>
      <c r="N158">
        <v>3</v>
      </c>
      <c r="O158">
        <v>150</v>
      </c>
      <c r="P158">
        <v>1</v>
      </c>
      <c r="Q158">
        <v>4</v>
      </c>
      <c r="R158">
        <v>80</v>
      </c>
      <c r="S158">
        <v>1</v>
      </c>
      <c r="T158" t="b">
        <v>0</v>
      </c>
      <c r="U158">
        <v>1.75</v>
      </c>
      <c r="V158">
        <v>7</v>
      </c>
      <c r="W158">
        <v>5.25</v>
      </c>
      <c r="X158">
        <v>14.875</v>
      </c>
      <c r="Y158">
        <v>1</v>
      </c>
      <c r="Z158">
        <v>7</v>
      </c>
    </row>
    <row r="159" spans="1:26">
      <c r="A159">
        <v>41</v>
      </c>
      <c r="B159" s="2">
        <v>45977.929990234377</v>
      </c>
      <c r="C159" s="5">
        <v>45945.884118923612</v>
      </c>
      <c r="D159" s="5">
        <v>46009.975861545143</v>
      </c>
      <c r="E159" s="6">
        <f>_xlfn.DAYS(Tabelle1[[#This Row],[End-Zeitfenster]],Tabelle1[[#This Row],[Start-Zeitfenster]])</f>
        <v>64</v>
      </c>
      <c r="F159">
        <v>1</v>
      </c>
      <c r="G159">
        <v>3</v>
      </c>
      <c r="H159">
        <v>2</v>
      </c>
      <c r="I159">
        <v>0.19400000000000001</v>
      </c>
      <c r="J159">
        <v>0.43</v>
      </c>
      <c r="K159">
        <v>0.46899999999999997</v>
      </c>
      <c r="L159">
        <v>2.4</v>
      </c>
      <c r="M159">
        <v>0.75</v>
      </c>
      <c r="N159">
        <v>2</v>
      </c>
      <c r="O159">
        <v>200</v>
      </c>
      <c r="P159">
        <v>1</v>
      </c>
      <c r="Q159">
        <v>1</v>
      </c>
      <c r="R159">
        <v>33.332999999999998</v>
      </c>
      <c r="S159">
        <v>1</v>
      </c>
      <c r="T159" t="b">
        <v>0</v>
      </c>
      <c r="U159">
        <v>1.75</v>
      </c>
      <c r="V159">
        <v>7</v>
      </c>
      <c r="W159">
        <v>5.25</v>
      </c>
      <c r="X159">
        <v>14.875</v>
      </c>
      <c r="Y159">
        <v>1</v>
      </c>
      <c r="Z159">
        <v>8</v>
      </c>
    </row>
    <row r="160" spans="1:26">
      <c r="A160">
        <v>42</v>
      </c>
      <c r="B160" s="2">
        <v>45753.608891059033</v>
      </c>
      <c r="C160" s="5">
        <v>45625.425405815971</v>
      </c>
      <c r="D160" s="5">
        <v>45785.654762369792</v>
      </c>
      <c r="E160" s="6">
        <f>_xlfn.DAYS(Tabelle1[[#This Row],[End-Zeitfenster]],Tabelle1[[#This Row],[Start-Zeitfenster]])</f>
        <v>160</v>
      </c>
      <c r="F160">
        <v>2</v>
      </c>
      <c r="G160">
        <v>18</v>
      </c>
      <c r="H160">
        <v>2</v>
      </c>
      <c r="I160">
        <v>0.16700000000000001</v>
      </c>
      <c r="J160">
        <v>0.82</v>
      </c>
      <c r="K160">
        <v>0.156</v>
      </c>
      <c r="L160">
        <v>15.516999999999999</v>
      </c>
      <c r="M160">
        <v>4</v>
      </c>
      <c r="N160">
        <v>16</v>
      </c>
      <c r="O160">
        <v>800</v>
      </c>
      <c r="P160">
        <v>3</v>
      </c>
      <c r="Q160">
        <v>16</v>
      </c>
      <c r="R160">
        <v>88.888999999999996</v>
      </c>
      <c r="S160">
        <v>1</v>
      </c>
      <c r="T160" t="b">
        <v>1</v>
      </c>
      <c r="U160">
        <v>2</v>
      </c>
      <c r="V160">
        <v>5.25</v>
      </c>
      <c r="W160">
        <v>3.25</v>
      </c>
      <c r="X160">
        <v>10.125</v>
      </c>
      <c r="Y160">
        <v>2</v>
      </c>
      <c r="Z160">
        <v>1</v>
      </c>
    </row>
    <row r="161" spans="1:26">
      <c r="A161">
        <v>42</v>
      </c>
      <c r="B161" s="2">
        <v>45561.333663194448</v>
      </c>
      <c r="C161" s="5">
        <v>45529.287791883682</v>
      </c>
      <c r="D161" s="5">
        <v>45593.379534505213</v>
      </c>
      <c r="E161" s="6">
        <f>_xlfn.DAYS(Tabelle1[[#This Row],[End-Zeitfenster]],Tabelle1[[#This Row],[Start-Zeitfenster]])</f>
        <v>64</v>
      </c>
      <c r="F161">
        <v>2</v>
      </c>
      <c r="G161">
        <v>12</v>
      </c>
      <c r="H161">
        <v>2</v>
      </c>
      <c r="I161">
        <v>0.183</v>
      </c>
      <c r="J161">
        <v>1.052</v>
      </c>
      <c r="K161">
        <v>0.25600000000000001</v>
      </c>
      <c r="L161">
        <v>10.345000000000001</v>
      </c>
      <c r="M161">
        <v>2.6669999999999998</v>
      </c>
      <c r="N161">
        <v>10</v>
      </c>
      <c r="O161">
        <v>500</v>
      </c>
      <c r="P161">
        <v>1</v>
      </c>
      <c r="Q161">
        <v>10</v>
      </c>
      <c r="R161">
        <v>83.332999999999998</v>
      </c>
      <c r="S161">
        <v>1</v>
      </c>
      <c r="T161" t="b">
        <v>1</v>
      </c>
      <c r="U161">
        <v>2</v>
      </c>
      <c r="V161">
        <v>5.25</v>
      </c>
      <c r="W161">
        <v>3.25</v>
      </c>
      <c r="X161">
        <v>10.125</v>
      </c>
      <c r="Y161">
        <v>1</v>
      </c>
      <c r="Z161">
        <v>2</v>
      </c>
    </row>
    <row r="162" spans="1:26">
      <c r="A162">
        <v>42</v>
      </c>
      <c r="B162" s="2">
        <v>45176.783207465283</v>
      </c>
      <c r="C162" s="5">
        <v>45144.737336154511</v>
      </c>
      <c r="D162" s="5">
        <v>45208.829078776042</v>
      </c>
      <c r="E162" s="6">
        <f>_xlfn.DAYS(Tabelle1[[#This Row],[End-Zeitfenster]],Tabelle1[[#This Row],[Start-Zeitfenster]])</f>
        <v>64</v>
      </c>
      <c r="F162">
        <v>2</v>
      </c>
      <c r="G162">
        <v>9</v>
      </c>
      <c r="H162">
        <v>4</v>
      </c>
      <c r="I162">
        <v>0.24399999999999999</v>
      </c>
      <c r="J162">
        <v>0.61599999999999999</v>
      </c>
      <c r="K162">
        <v>9.9000000000000005E-2</v>
      </c>
      <c r="L162">
        <v>7.7590000000000003</v>
      </c>
      <c r="M162">
        <v>2</v>
      </c>
      <c r="N162">
        <v>7</v>
      </c>
      <c r="O162">
        <v>350</v>
      </c>
      <c r="P162">
        <v>1</v>
      </c>
      <c r="Q162">
        <v>5</v>
      </c>
      <c r="R162">
        <v>55.555999999999997</v>
      </c>
      <c r="S162">
        <v>1</v>
      </c>
      <c r="T162" t="b">
        <v>0</v>
      </c>
      <c r="U162">
        <v>2</v>
      </c>
      <c r="V162">
        <v>5.25</v>
      </c>
      <c r="W162">
        <v>3.25</v>
      </c>
      <c r="X162">
        <v>10.125</v>
      </c>
      <c r="Y162">
        <v>1</v>
      </c>
      <c r="Z162">
        <v>3</v>
      </c>
    </row>
    <row r="163" spans="1:26">
      <c r="A163">
        <v>42</v>
      </c>
      <c r="B163" s="2">
        <v>45497.241920572917</v>
      </c>
      <c r="C163" s="5">
        <v>45465.196049262151</v>
      </c>
      <c r="D163" s="5">
        <v>45529.287791883682</v>
      </c>
      <c r="E163" s="6">
        <f>_xlfn.DAYS(Tabelle1[[#This Row],[End-Zeitfenster]],Tabelle1[[#This Row],[Start-Zeitfenster]])</f>
        <v>64</v>
      </c>
      <c r="F163">
        <v>1</v>
      </c>
      <c r="G163">
        <v>6</v>
      </c>
      <c r="H163">
        <v>2</v>
      </c>
      <c r="I163">
        <v>6.6000000000000003E-2</v>
      </c>
      <c r="J163">
        <v>0.42799999999999999</v>
      </c>
      <c r="K163">
        <v>0.183</v>
      </c>
      <c r="L163">
        <v>5.1719999999999997</v>
      </c>
      <c r="M163">
        <v>1.333</v>
      </c>
      <c r="N163">
        <v>5</v>
      </c>
      <c r="O163">
        <v>500</v>
      </c>
      <c r="P163">
        <v>1</v>
      </c>
      <c r="Q163">
        <v>4</v>
      </c>
      <c r="R163">
        <v>66.667000000000002</v>
      </c>
      <c r="S163">
        <v>1</v>
      </c>
      <c r="T163" t="b">
        <v>0</v>
      </c>
      <c r="U163">
        <v>2</v>
      </c>
      <c r="V163">
        <v>5.25</v>
      </c>
      <c r="W163">
        <v>3.25</v>
      </c>
      <c r="X163">
        <v>10.125</v>
      </c>
      <c r="Y163">
        <v>1</v>
      </c>
      <c r="Z163">
        <v>4</v>
      </c>
    </row>
    <row r="164" spans="1:26">
      <c r="A164">
        <v>42</v>
      </c>
      <c r="B164" s="2">
        <v>45240.874950086807</v>
      </c>
      <c r="C164" s="5">
        <v>45208.829078776042</v>
      </c>
      <c r="D164" s="5">
        <v>45337.012564019104</v>
      </c>
      <c r="E164" s="6">
        <f>_xlfn.DAYS(Tabelle1[[#This Row],[End-Zeitfenster]],Tabelle1[[#This Row],[Start-Zeitfenster]])</f>
        <v>129</v>
      </c>
      <c r="F164">
        <v>4</v>
      </c>
      <c r="G164">
        <v>5</v>
      </c>
      <c r="H164">
        <v>1</v>
      </c>
      <c r="I164">
        <v>9.9000000000000005E-2</v>
      </c>
      <c r="J164">
        <v>0.254</v>
      </c>
      <c r="K164">
        <v>6.3E-2</v>
      </c>
      <c r="L164">
        <v>4.3099999999999996</v>
      </c>
      <c r="M164">
        <v>1.111</v>
      </c>
      <c r="N164">
        <v>1</v>
      </c>
      <c r="O164">
        <v>25</v>
      </c>
      <c r="P164">
        <v>1</v>
      </c>
      <c r="Q164">
        <v>4</v>
      </c>
      <c r="R164">
        <v>80</v>
      </c>
      <c r="S164">
        <v>3</v>
      </c>
      <c r="T164" t="b">
        <v>0</v>
      </c>
      <c r="U164">
        <v>2</v>
      </c>
      <c r="V164">
        <v>5.25</v>
      </c>
      <c r="W164">
        <v>3.25</v>
      </c>
      <c r="X164">
        <v>10.125</v>
      </c>
      <c r="Y164">
        <v>1</v>
      </c>
      <c r="Z164">
        <v>5</v>
      </c>
    </row>
    <row r="165" spans="1:26">
      <c r="A165">
        <v>42</v>
      </c>
      <c r="B165" s="2">
        <v>45433.150177951393</v>
      </c>
      <c r="C165" s="5">
        <v>45401.104306640627</v>
      </c>
      <c r="D165" s="5">
        <v>45465.196049262151</v>
      </c>
      <c r="E165" s="6">
        <f>_xlfn.DAYS(Tabelle1[[#This Row],[End-Zeitfenster]],Tabelle1[[#This Row],[Start-Zeitfenster]])</f>
        <v>64</v>
      </c>
      <c r="F165">
        <v>1</v>
      </c>
      <c r="G165">
        <v>5</v>
      </c>
      <c r="H165">
        <v>1</v>
      </c>
      <c r="I165">
        <v>5.1999999999999998E-2</v>
      </c>
      <c r="J165">
        <v>0.16600000000000001</v>
      </c>
      <c r="K165">
        <v>6.6000000000000003E-2</v>
      </c>
      <c r="L165">
        <v>4.3099999999999996</v>
      </c>
      <c r="M165">
        <v>1.111</v>
      </c>
      <c r="N165">
        <v>4</v>
      </c>
      <c r="O165">
        <v>400</v>
      </c>
      <c r="P165">
        <v>1</v>
      </c>
      <c r="Q165">
        <v>4</v>
      </c>
      <c r="R165">
        <v>80</v>
      </c>
      <c r="S165">
        <v>1</v>
      </c>
      <c r="T165" t="b">
        <v>0</v>
      </c>
      <c r="U165">
        <v>2</v>
      </c>
      <c r="V165">
        <v>5.25</v>
      </c>
      <c r="W165">
        <v>3.25</v>
      </c>
      <c r="X165">
        <v>10.125</v>
      </c>
      <c r="Y165">
        <v>1</v>
      </c>
      <c r="Z165">
        <v>6</v>
      </c>
    </row>
    <row r="166" spans="1:26">
      <c r="A166">
        <v>42</v>
      </c>
      <c r="B166" s="2">
        <v>45817.700633680557</v>
      </c>
      <c r="C166" s="5">
        <v>45785.654762369792</v>
      </c>
      <c r="D166" s="5">
        <v>45913.838247612854</v>
      </c>
      <c r="E166" s="6">
        <f>_xlfn.DAYS(Tabelle1[[#This Row],[End-Zeitfenster]],Tabelle1[[#This Row],[Start-Zeitfenster]])</f>
        <v>128</v>
      </c>
      <c r="F166">
        <v>2</v>
      </c>
      <c r="G166">
        <v>5</v>
      </c>
      <c r="H166">
        <v>1</v>
      </c>
      <c r="I166">
        <v>0.156</v>
      </c>
      <c r="J166">
        <v>0.72499999999999998</v>
      </c>
      <c r="K166">
        <v>0.186</v>
      </c>
      <c r="L166">
        <v>4.3099999999999996</v>
      </c>
      <c r="M166">
        <v>1.111</v>
      </c>
      <c r="N166">
        <v>3</v>
      </c>
      <c r="O166">
        <v>150</v>
      </c>
      <c r="P166">
        <v>1</v>
      </c>
      <c r="Q166">
        <v>4</v>
      </c>
      <c r="R166">
        <v>80</v>
      </c>
      <c r="S166">
        <v>1</v>
      </c>
      <c r="T166" t="b">
        <v>0</v>
      </c>
      <c r="U166">
        <v>2</v>
      </c>
      <c r="V166">
        <v>5.25</v>
      </c>
      <c r="W166">
        <v>3.25</v>
      </c>
      <c r="X166">
        <v>10.125</v>
      </c>
      <c r="Y166">
        <v>1</v>
      </c>
      <c r="Z166">
        <v>7</v>
      </c>
    </row>
    <row r="167" spans="1:26">
      <c r="A167">
        <v>43</v>
      </c>
      <c r="B167" s="2">
        <v>45144.737336154511</v>
      </c>
      <c r="C167" s="5">
        <v>45112.691464843752</v>
      </c>
      <c r="D167" s="5">
        <v>45176.783207465283</v>
      </c>
      <c r="E167" s="6">
        <f>_xlfn.DAYS(Tabelle1[[#This Row],[End-Zeitfenster]],Tabelle1[[#This Row],[Start-Zeitfenster]])</f>
        <v>64</v>
      </c>
      <c r="F167">
        <v>1</v>
      </c>
      <c r="G167">
        <v>11</v>
      </c>
      <c r="H167">
        <v>8</v>
      </c>
      <c r="I167">
        <v>0.09</v>
      </c>
      <c r="J167">
        <v>1.345</v>
      </c>
      <c r="K167">
        <v>0.54700000000000004</v>
      </c>
      <c r="L167">
        <v>9.8209999999999997</v>
      </c>
      <c r="M167">
        <v>2.75</v>
      </c>
      <c r="N167">
        <v>10</v>
      </c>
      <c r="O167">
        <v>1000</v>
      </c>
      <c r="P167">
        <v>1</v>
      </c>
      <c r="Q167">
        <v>3</v>
      </c>
      <c r="R167">
        <v>27.273</v>
      </c>
      <c r="S167">
        <v>1</v>
      </c>
      <c r="T167" t="b">
        <v>0</v>
      </c>
      <c r="U167">
        <v>2</v>
      </c>
      <c r="V167">
        <v>6</v>
      </c>
      <c r="W167">
        <v>4</v>
      </c>
      <c r="X167">
        <v>12</v>
      </c>
      <c r="Y167">
        <v>1</v>
      </c>
      <c r="Z167">
        <v>1</v>
      </c>
    </row>
    <row r="168" spans="1:26">
      <c r="A168">
        <v>43</v>
      </c>
      <c r="B168" s="2">
        <v>45401.104306640627</v>
      </c>
      <c r="C168" s="5">
        <v>45369.058435329862</v>
      </c>
      <c r="D168" s="5">
        <v>45465.196049262151</v>
      </c>
      <c r="E168" s="6">
        <f>_xlfn.DAYS(Tabelle1[[#This Row],[End-Zeitfenster]],Tabelle1[[#This Row],[Start-Zeitfenster]])</f>
        <v>96</v>
      </c>
      <c r="F168">
        <v>4</v>
      </c>
      <c r="G168">
        <v>10</v>
      </c>
      <c r="H168">
        <v>5</v>
      </c>
      <c r="I168">
        <v>0.38800000000000001</v>
      </c>
      <c r="J168">
        <v>0.52</v>
      </c>
      <c r="K168">
        <v>0.32900000000000001</v>
      </c>
      <c r="L168">
        <v>8.9290000000000003</v>
      </c>
      <c r="M168">
        <v>2.5</v>
      </c>
      <c r="N168">
        <v>6</v>
      </c>
      <c r="O168">
        <v>150</v>
      </c>
      <c r="P168">
        <v>1</v>
      </c>
      <c r="Q168">
        <v>5</v>
      </c>
      <c r="R168">
        <v>50</v>
      </c>
      <c r="S168">
        <v>2</v>
      </c>
      <c r="T168" t="b">
        <v>0</v>
      </c>
      <c r="U168">
        <v>2</v>
      </c>
      <c r="V168">
        <v>6</v>
      </c>
      <c r="W168">
        <v>4</v>
      </c>
      <c r="X168">
        <v>12</v>
      </c>
      <c r="Y168">
        <v>1</v>
      </c>
      <c r="Z168">
        <v>2</v>
      </c>
    </row>
    <row r="169" spans="1:26">
      <c r="A169">
        <v>43</v>
      </c>
      <c r="B169" s="2">
        <v>45080.645593532987</v>
      </c>
      <c r="C169" s="5">
        <v>45047.574254340281</v>
      </c>
      <c r="D169" s="5">
        <v>45112.691464843752</v>
      </c>
      <c r="E169" s="6">
        <f>_xlfn.DAYS(Tabelle1[[#This Row],[End-Zeitfenster]],Tabelle1[[#This Row],[Start-Zeitfenster]])</f>
        <v>65</v>
      </c>
      <c r="F169">
        <v>3</v>
      </c>
      <c r="G169">
        <v>7</v>
      </c>
      <c r="H169">
        <v>1</v>
      </c>
      <c r="I169">
        <v>0.49099999999999999</v>
      </c>
      <c r="J169">
        <v>0.42099999999999999</v>
      </c>
      <c r="K169">
        <v>0.09</v>
      </c>
      <c r="L169">
        <v>6.25</v>
      </c>
      <c r="M169">
        <v>1.75</v>
      </c>
      <c r="N169">
        <v>4</v>
      </c>
      <c r="O169">
        <v>133.333</v>
      </c>
      <c r="P169">
        <v>1</v>
      </c>
      <c r="Q169">
        <v>6</v>
      </c>
      <c r="R169">
        <v>85.713999999999999</v>
      </c>
      <c r="S169">
        <v>1</v>
      </c>
      <c r="T169" t="b">
        <v>0</v>
      </c>
      <c r="U169">
        <v>2</v>
      </c>
      <c r="V169">
        <v>6</v>
      </c>
      <c r="W169">
        <v>4</v>
      </c>
      <c r="X169">
        <v>12</v>
      </c>
      <c r="Y169">
        <v>1</v>
      </c>
      <c r="Z169">
        <v>3</v>
      </c>
    </row>
    <row r="170" spans="1:26">
      <c r="A170">
        <v>43</v>
      </c>
      <c r="B170" s="2">
        <v>45689.517148437502</v>
      </c>
      <c r="C170" s="5">
        <v>45625.425405815971</v>
      </c>
      <c r="D170" s="5">
        <v>45817.700633680557</v>
      </c>
      <c r="E170" s="6">
        <f>_xlfn.DAYS(Tabelle1[[#This Row],[End-Zeitfenster]],Tabelle1[[#This Row],[Start-Zeitfenster]])</f>
        <v>192</v>
      </c>
      <c r="F170">
        <v>2</v>
      </c>
      <c r="G170">
        <v>6</v>
      </c>
      <c r="H170">
        <v>1</v>
      </c>
      <c r="I170">
        <v>0.16700000000000001</v>
      </c>
      <c r="J170">
        <v>0.215</v>
      </c>
      <c r="K170">
        <v>0.14499999999999999</v>
      </c>
      <c r="L170">
        <v>5.3570000000000002</v>
      </c>
      <c r="M170">
        <v>1.5</v>
      </c>
      <c r="N170">
        <v>4</v>
      </c>
      <c r="O170">
        <v>200</v>
      </c>
      <c r="P170">
        <v>2</v>
      </c>
      <c r="Q170">
        <v>5</v>
      </c>
      <c r="R170">
        <v>83.332999999999998</v>
      </c>
      <c r="S170">
        <v>2</v>
      </c>
      <c r="T170" t="b">
        <v>0</v>
      </c>
      <c r="U170">
        <v>2</v>
      </c>
      <c r="V170">
        <v>6</v>
      </c>
      <c r="W170">
        <v>4</v>
      </c>
      <c r="X170">
        <v>12</v>
      </c>
      <c r="Y170">
        <v>1</v>
      </c>
      <c r="Z170">
        <v>4</v>
      </c>
    </row>
    <row r="171" spans="1:26">
      <c r="A171">
        <v>43</v>
      </c>
      <c r="B171" s="2">
        <v>45337.012564019104</v>
      </c>
      <c r="C171" s="5">
        <v>45304.966692708331</v>
      </c>
      <c r="D171" s="5">
        <v>45369.058435329862</v>
      </c>
      <c r="E171" s="6">
        <f>_xlfn.DAYS(Tabelle1[[#This Row],[End-Zeitfenster]],Tabelle1[[#This Row],[Start-Zeitfenster]])</f>
        <v>65</v>
      </c>
      <c r="F171">
        <v>3</v>
      </c>
      <c r="G171">
        <v>4</v>
      </c>
      <c r="H171">
        <v>4</v>
      </c>
      <c r="I171">
        <v>0.115</v>
      </c>
      <c r="J171">
        <v>0.254</v>
      </c>
      <c r="K171">
        <v>0.38800000000000001</v>
      </c>
      <c r="L171">
        <v>3.5710000000000002</v>
      </c>
      <c r="M171">
        <v>1</v>
      </c>
      <c r="N171">
        <v>1</v>
      </c>
      <c r="O171">
        <v>33.332999999999998</v>
      </c>
      <c r="P171">
        <v>1</v>
      </c>
      <c r="Q171">
        <v>0</v>
      </c>
      <c r="R171">
        <v>0</v>
      </c>
      <c r="S171">
        <v>1</v>
      </c>
      <c r="T171" t="b">
        <v>0</v>
      </c>
      <c r="U171">
        <v>2</v>
      </c>
      <c r="V171">
        <v>6</v>
      </c>
      <c r="W171">
        <v>4</v>
      </c>
      <c r="X171">
        <v>12</v>
      </c>
      <c r="Y171">
        <v>1</v>
      </c>
      <c r="Z171">
        <v>5</v>
      </c>
    </row>
    <row r="172" spans="1:26">
      <c r="A172">
        <v>43</v>
      </c>
      <c r="B172" s="2">
        <v>45945.884118923612</v>
      </c>
      <c r="C172" s="5">
        <v>45913.838247612854</v>
      </c>
      <c r="D172" s="5">
        <v>45977.929990234377</v>
      </c>
      <c r="E172" s="6">
        <f>_xlfn.DAYS(Tabelle1[[#This Row],[End-Zeitfenster]],Tabelle1[[#This Row],[Start-Zeitfenster]])</f>
        <v>64</v>
      </c>
      <c r="F172">
        <v>2</v>
      </c>
      <c r="G172">
        <v>4</v>
      </c>
      <c r="H172">
        <v>1</v>
      </c>
      <c r="I172">
        <v>0.371</v>
      </c>
      <c r="J172">
        <v>0.77500000000000002</v>
      </c>
      <c r="K172">
        <v>0.14299999999999999</v>
      </c>
      <c r="L172">
        <v>3.5710000000000002</v>
      </c>
      <c r="M172">
        <v>1</v>
      </c>
      <c r="N172">
        <v>2</v>
      </c>
      <c r="O172">
        <v>100</v>
      </c>
      <c r="P172">
        <v>1</v>
      </c>
      <c r="Q172">
        <v>3</v>
      </c>
      <c r="R172">
        <v>75</v>
      </c>
      <c r="S172">
        <v>1</v>
      </c>
      <c r="T172" t="b">
        <v>0</v>
      </c>
      <c r="U172">
        <v>2</v>
      </c>
      <c r="V172">
        <v>6</v>
      </c>
      <c r="W172">
        <v>4</v>
      </c>
      <c r="X172">
        <v>12</v>
      </c>
      <c r="Y172">
        <v>1</v>
      </c>
      <c r="Z172">
        <v>6</v>
      </c>
    </row>
    <row r="173" spans="1:26">
      <c r="A173">
        <v>43</v>
      </c>
      <c r="B173" s="2">
        <v>45881.792376302081</v>
      </c>
      <c r="C173" s="5">
        <v>45817.700633680557</v>
      </c>
      <c r="D173" s="5">
        <v>45913.838247612854</v>
      </c>
      <c r="E173" s="6">
        <f>_xlfn.DAYS(Tabelle1[[#This Row],[End-Zeitfenster]],Tabelle1[[#This Row],[Start-Zeitfenster]])</f>
        <v>96</v>
      </c>
      <c r="F173">
        <v>1</v>
      </c>
      <c r="G173">
        <v>2</v>
      </c>
      <c r="H173">
        <v>2</v>
      </c>
      <c r="I173">
        <v>0.14499999999999999</v>
      </c>
      <c r="J173">
        <v>0.17499999999999999</v>
      </c>
      <c r="K173">
        <v>0.371</v>
      </c>
      <c r="L173">
        <v>1.786</v>
      </c>
      <c r="M173">
        <v>0.5</v>
      </c>
      <c r="N173">
        <v>1</v>
      </c>
      <c r="O173">
        <v>100</v>
      </c>
      <c r="P173">
        <v>1</v>
      </c>
      <c r="Q173">
        <v>0</v>
      </c>
      <c r="R173">
        <v>0</v>
      </c>
      <c r="S173">
        <v>1</v>
      </c>
      <c r="T173" t="b">
        <v>0</v>
      </c>
      <c r="U173">
        <v>2</v>
      </c>
      <c r="V173">
        <v>6</v>
      </c>
      <c r="W173">
        <v>4</v>
      </c>
      <c r="X173">
        <v>12</v>
      </c>
      <c r="Y173">
        <v>1</v>
      </c>
      <c r="Z173">
        <v>7</v>
      </c>
    </row>
    <row r="174" spans="1:26">
      <c r="A174">
        <v>44</v>
      </c>
      <c r="B174" s="2">
        <v>45433.150177951393</v>
      </c>
      <c r="C174" s="5">
        <v>45272.920821397573</v>
      </c>
      <c r="D174" s="5">
        <v>45561.333663194448</v>
      </c>
      <c r="E174" s="6">
        <f>_xlfn.DAYS(Tabelle1[[#This Row],[End-Zeitfenster]],Tabelle1[[#This Row],[Start-Zeitfenster]])</f>
        <v>289</v>
      </c>
      <c r="F174">
        <v>1</v>
      </c>
      <c r="G174">
        <v>25</v>
      </c>
      <c r="H174">
        <v>1</v>
      </c>
      <c r="I174">
        <v>7.2999999999999995E-2</v>
      </c>
      <c r="J174">
        <v>0.82899999999999996</v>
      </c>
      <c r="K174">
        <v>8.7999999999999995E-2</v>
      </c>
      <c r="L174">
        <v>22.321000000000002</v>
      </c>
      <c r="M174">
        <v>8.3330000000000002</v>
      </c>
      <c r="N174">
        <v>24</v>
      </c>
      <c r="O174">
        <v>2400</v>
      </c>
      <c r="P174">
        <v>4</v>
      </c>
      <c r="Q174">
        <v>24</v>
      </c>
      <c r="R174">
        <v>96</v>
      </c>
      <c r="S174">
        <v>3</v>
      </c>
      <c r="T174" t="b">
        <v>1</v>
      </c>
      <c r="U174">
        <v>2</v>
      </c>
      <c r="V174">
        <v>4.5</v>
      </c>
      <c r="W174">
        <v>2.5</v>
      </c>
      <c r="X174">
        <v>8.25</v>
      </c>
      <c r="Y174">
        <v>1</v>
      </c>
      <c r="Z174">
        <v>1</v>
      </c>
    </row>
    <row r="175" spans="1:26">
      <c r="A175">
        <v>44</v>
      </c>
      <c r="B175" s="2">
        <v>45657.471277126737</v>
      </c>
      <c r="C175" s="5">
        <v>45625.425405815971</v>
      </c>
      <c r="D175" s="5">
        <v>45817.700633680557</v>
      </c>
      <c r="E175" s="6">
        <f>_xlfn.DAYS(Tabelle1[[#This Row],[End-Zeitfenster]],Tabelle1[[#This Row],[Start-Zeitfenster]])</f>
        <v>192</v>
      </c>
      <c r="F175">
        <v>4</v>
      </c>
      <c r="G175">
        <v>12</v>
      </c>
      <c r="H175">
        <v>1</v>
      </c>
      <c r="I175">
        <v>0.33400000000000002</v>
      </c>
      <c r="J175">
        <v>0.32500000000000001</v>
      </c>
      <c r="K175">
        <v>0.14499999999999999</v>
      </c>
      <c r="L175">
        <v>10.714</v>
      </c>
      <c r="M175">
        <v>4</v>
      </c>
      <c r="N175">
        <v>8</v>
      </c>
      <c r="O175">
        <v>200</v>
      </c>
      <c r="P175">
        <v>1</v>
      </c>
      <c r="Q175">
        <v>11</v>
      </c>
      <c r="R175">
        <v>91.667000000000002</v>
      </c>
      <c r="S175">
        <v>3</v>
      </c>
      <c r="T175" t="b">
        <v>1</v>
      </c>
      <c r="U175">
        <v>2</v>
      </c>
      <c r="V175">
        <v>4.5</v>
      </c>
      <c r="W175">
        <v>2.5</v>
      </c>
      <c r="X175">
        <v>8.25</v>
      </c>
      <c r="Y175">
        <v>1</v>
      </c>
      <c r="Z175">
        <v>2</v>
      </c>
    </row>
    <row r="176" spans="1:26">
      <c r="A176">
        <v>44</v>
      </c>
      <c r="B176" s="2">
        <v>45240.874950086807</v>
      </c>
      <c r="C176" s="5">
        <v>45144.737336154511</v>
      </c>
      <c r="D176" s="5">
        <v>45272.920821397573</v>
      </c>
      <c r="E176" s="6">
        <f>_xlfn.DAYS(Tabelle1[[#This Row],[End-Zeitfenster]],Tabelle1[[#This Row],[Start-Zeitfenster]])</f>
        <v>128</v>
      </c>
      <c r="F176">
        <v>1</v>
      </c>
      <c r="G176">
        <v>10</v>
      </c>
      <c r="H176">
        <v>1</v>
      </c>
      <c r="I176">
        <v>0.122</v>
      </c>
      <c r="J176">
        <v>0.50900000000000001</v>
      </c>
      <c r="K176">
        <v>7.2999999999999995E-2</v>
      </c>
      <c r="L176">
        <v>8.9290000000000003</v>
      </c>
      <c r="M176">
        <v>3.3330000000000002</v>
      </c>
      <c r="N176">
        <v>9</v>
      </c>
      <c r="O176">
        <v>900</v>
      </c>
      <c r="P176">
        <v>3</v>
      </c>
      <c r="Q176">
        <v>9</v>
      </c>
      <c r="R176">
        <v>90</v>
      </c>
      <c r="S176">
        <v>1</v>
      </c>
      <c r="T176" t="b">
        <v>1</v>
      </c>
      <c r="U176">
        <v>2</v>
      </c>
      <c r="V176">
        <v>4.5</v>
      </c>
      <c r="W176">
        <v>2.5</v>
      </c>
      <c r="X176">
        <v>8.25</v>
      </c>
      <c r="Y176">
        <v>1</v>
      </c>
      <c r="Z176">
        <v>3</v>
      </c>
    </row>
    <row r="177" spans="1:26">
      <c r="A177">
        <v>44</v>
      </c>
      <c r="B177" s="2">
        <v>45593.379534505213</v>
      </c>
      <c r="C177" s="5">
        <v>45561.333663194448</v>
      </c>
      <c r="D177" s="5">
        <v>45625.425405815971</v>
      </c>
      <c r="E177" s="6">
        <f>_xlfn.DAYS(Tabelle1[[#This Row],[End-Zeitfenster]],Tabelle1[[#This Row],[Start-Zeitfenster]])</f>
        <v>64</v>
      </c>
      <c r="F177">
        <v>1</v>
      </c>
      <c r="G177">
        <v>4</v>
      </c>
      <c r="H177">
        <v>4</v>
      </c>
      <c r="I177">
        <v>8.7999999999999995E-2</v>
      </c>
      <c r="J177">
        <v>0.51200000000000001</v>
      </c>
      <c r="K177">
        <v>0.33400000000000002</v>
      </c>
      <c r="L177">
        <v>3.5710000000000002</v>
      </c>
      <c r="M177">
        <v>1.333</v>
      </c>
      <c r="N177">
        <v>3</v>
      </c>
      <c r="O177">
        <v>300</v>
      </c>
      <c r="P177">
        <v>1</v>
      </c>
      <c r="Q177">
        <v>0</v>
      </c>
      <c r="R177">
        <v>0</v>
      </c>
      <c r="S177">
        <v>1</v>
      </c>
      <c r="T177" t="b">
        <v>0</v>
      </c>
      <c r="U177">
        <v>2</v>
      </c>
      <c r="V177">
        <v>4.5</v>
      </c>
      <c r="W177">
        <v>2.5</v>
      </c>
      <c r="X177">
        <v>8.25</v>
      </c>
      <c r="Y177">
        <v>1</v>
      </c>
      <c r="Z177">
        <v>4</v>
      </c>
    </row>
    <row r="178" spans="1:26">
      <c r="A178">
        <v>44</v>
      </c>
      <c r="B178" s="2">
        <v>45849.746504991323</v>
      </c>
      <c r="C178" s="5">
        <v>45817.700633680557</v>
      </c>
      <c r="D178" s="5">
        <v>45913.838247612854</v>
      </c>
      <c r="E178" s="6">
        <f>_xlfn.DAYS(Tabelle1[[#This Row],[End-Zeitfenster]],Tabelle1[[#This Row],[Start-Zeitfenster]])</f>
        <v>96</v>
      </c>
      <c r="F178">
        <v>1</v>
      </c>
      <c r="G178">
        <v>3</v>
      </c>
      <c r="H178">
        <v>2</v>
      </c>
      <c r="I178">
        <v>0.14499999999999999</v>
      </c>
      <c r="J178">
        <v>0.34200000000000003</v>
      </c>
      <c r="K178">
        <v>0.371</v>
      </c>
      <c r="L178">
        <v>2.6789999999999998</v>
      </c>
      <c r="M178">
        <v>1</v>
      </c>
      <c r="N178">
        <v>2</v>
      </c>
      <c r="O178">
        <v>200</v>
      </c>
      <c r="P178">
        <v>1</v>
      </c>
      <c r="Q178">
        <v>1</v>
      </c>
      <c r="R178">
        <v>33.332999999999998</v>
      </c>
      <c r="S178">
        <v>2</v>
      </c>
      <c r="T178" t="b">
        <v>0</v>
      </c>
      <c r="U178">
        <v>2</v>
      </c>
      <c r="V178">
        <v>4.5</v>
      </c>
      <c r="W178">
        <v>2.5</v>
      </c>
      <c r="X178">
        <v>8.25</v>
      </c>
      <c r="Y178">
        <v>1</v>
      </c>
      <c r="Z178">
        <v>5</v>
      </c>
    </row>
    <row r="179" spans="1:26">
      <c r="A179">
        <v>44</v>
      </c>
      <c r="B179" s="2">
        <v>45977.929990234377</v>
      </c>
      <c r="C179" s="5">
        <v>45913.838247612854</v>
      </c>
      <c r="D179" s="5">
        <v>46009.975861545143</v>
      </c>
      <c r="E179" s="6">
        <f>_xlfn.DAYS(Tabelle1[[#This Row],[End-Zeitfenster]],Tabelle1[[#This Row],[Start-Zeitfenster]])</f>
        <v>96</v>
      </c>
      <c r="F179">
        <v>2</v>
      </c>
      <c r="G179">
        <v>3</v>
      </c>
      <c r="H179">
        <v>1</v>
      </c>
      <c r="I179">
        <v>0.371</v>
      </c>
      <c r="J179">
        <v>0.43</v>
      </c>
      <c r="K179">
        <v>0.23499999999999999</v>
      </c>
      <c r="L179">
        <v>2.6789999999999998</v>
      </c>
      <c r="M179">
        <v>1</v>
      </c>
      <c r="N179">
        <v>1</v>
      </c>
      <c r="O179">
        <v>50</v>
      </c>
      <c r="P179">
        <v>1</v>
      </c>
      <c r="Q179">
        <v>2</v>
      </c>
      <c r="R179">
        <v>66.667000000000002</v>
      </c>
      <c r="S179">
        <v>1</v>
      </c>
      <c r="T179" t="b">
        <v>0</v>
      </c>
      <c r="U179">
        <v>2</v>
      </c>
      <c r="V179">
        <v>4.5</v>
      </c>
      <c r="W179">
        <v>2.5</v>
      </c>
      <c r="X179">
        <v>8.25</v>
      </c>
      <c r="Y179">
        <v>1</v>
      </c>
      <c r="Z179">
        <v>6</v>
      </c>
    </row>
    <row r="180" spans="1:26">
      <c r="A180">
        <v>45</v>
      </c>
      <c r="B180" s="2">
        <v>45657.471277126737</v>
      </c>
      <c r="C180" s="5">
        <v>45625.425405815971</v>
      </c>
      <c r="D180" s="5">
        <v>45753.608891059033</v>
      </c>
      <c r="E180" s="6">
        <f>_xlfn.DAYS(Tabelle1[[#This Row],[End-Zeitfenster]],Tabelle1[[#This Row],[Start-Zeitfenster]])</f>
        <v>128</v>
      </c>
      <c r="F180">
        <v>1</v>
      </c>
      <c r="G180">
        <v>21</v>
      </c>
      <c r="H180">
        <v>3</v>
      </c>
      <c r="I180">
        <v>8.3000000000000004E-2</v>
      </c>
      <c r="J180">
        <v>0.56999999999999995</v>
      </c>
      <c r="K180">
        <v>0.13700000000000001</v>
      </c>
      <c r="L180">
        <v>19.091000000000001</v>
      </c>
      <c r="M180">
        <v>7</v>
      </c>
      <c r="N180">
        <v>20</v>
      </c>
      <c r="O180">
        <v>2000</v>
      </c>
      <c r="P180">
        <v>1</v>
      </c>
      <c r="Q180">
        <v>18</v>
      </c>
      <c r="R180">
        <v>85.713999999999999</v>
      </c>
      <c r="S180">
        <v>2</v>
      </c>
      <c r="T180" t="b">
        <v>1</v>
      </c>
      <c r="U180">
        <v>2.25</v>
      </c>
      <c r="V180">
        <v>4.75</v>
      </c>
      <c r="W180">
        <v>2.5</v>
      </c>
      <c r="X180">
        <v>8.5</v>
      </c>
      <c r="Y180">
        <v>2</v>
      </c>
      <c r="Z180">
        <v>1</v>
      </c>
    </row>
    <row r="181" spans="1:26">
      <c r="A181">
        <v>45</v>
      </c>
      <c r="B181" s="2">
        <v>45785.654762369792</v>
      </c>
      <c r="C181" s="5">
        <v>45753.608891059033</v>
      </c>
      <c r="D181" s="5">
        <v>45817.700633680557</v>
      </c>
      <c r="E181" s="6">
        <f>_xlfn.DAYS(Tabelle1[[#This Row],[End-Zeitfenster]],Tabelle1[[#This Row],[Start-Zeitfenster]])</f>
        <v>64</v>
      </c>
      <c r="F181">
        <v>3</v>
      </c>
      <c r="G181">
        <v>14</v>
      </c>
      <c r="H181">
        <v>3</v>
      </c>
      <c r="I181">
        <v>0.13700000000000001</v>
      </c>
      <c r="J181">
        <v>1.095</v>
      </c>
      <c r="K181">
        <v>0.435</v>
      </c>
      <c r="L181">
        <v>12.727</v>
      </c>
      <c r="M181">
        <v>4.6669999999999998</v>
      </c>
      <c r="N181">
        <v>11</v>
      </c>
      <c r="O181">
        <v>366.66699999999997</v>
      </c>
      <c r="P181">
        <v>1</v>
      </c>
      <c r="Q181">
        <v>11</v>
      </c>
      <c r="R181">
        <v>78.570999999999998</v>
      </c>
      <c r="S181">
        <v>1</v>
      </c>
      <c r="T181" t="b">
        <v>1</v>
      </c>
      <c r="U181">
        <v>2.25</v>
      </c>
      <c r="V181">
        <v>4.75</v>
      </c>
      <c r="W181">
        <v>2.5</v>
      </c>
      <c r="X181">
        <v>8.5</v>
      </c>
      <c r="Y181">
        <v>1</v>
      </c>
      <c r="Z181">
        <v>2</v>
      </c>
    </row>
    <row r="182" spans="1:26">
      <c r="A182">
        <v>45</v>
      </c>
      <c r="B182" s="2">
        <v>45144.737336154511</v>
      </c>
      <c r="C182" s="5">
        <v>45080.645593532987</v>
      </c>
      <c r="D182" s="5">
        <v>45176.783207465283</v>
      </c>
      <c r="E182" s="6">
        <f>_xlfn.DAYS(Tabelle1[[#This Row],[End-Zeitfenster]],Tabelle1[[#This Row],[Start-Zeitfenster]])</f>
        <v>96</v>
      </c>
      <c r="F182">
        <v>1</v>
      </c>
      <c r="G182">
        <v>5</v>
      </c>
      <c r="H182">
        <v>3</v>
      </c>
      <c r="I182">
        <v>0.06</v>
      </c>
      <c r="J182">
        <v>0.61099999999999999</v>
      </c>
      <c r="K182">
        <v>0.20499999999999999</v>
      </c>
      <c r="L182">
        <v>4.5449999999999999</v>
      </c>
      <c r="M182">
        <v>1.667</v>
      </c>
      <c r="N182">
        <v>4</v>
      </c>
      <c r="O182">
        <v>400</v>
      </c>
      <c r="P182">
        <v>1</v>
      </c>
      <c r="Q182">
        <v>2</v>
      </c>
      <c r="R182">
        <v>40</v>
      </c>
      <c r="S182">
        <v>1</v>
      </c>
      <c r="T182" t="b">
        <v>0</v>
      </c>
      <c r="U182">
        <v>2.25</v>
      </c>
      <c r="V182">
        <v>4.75</v>
      </c>
      <c r="W182">
        <v>2.5</v>
      </c>
      <c r="X182">
        <v>8.5</v>
      </c>
      <c r="Y182">
        <v>1</v>
      </c>
      <c r="Z182">
        <v>3</v>
      </c>
    </row>
    <row r="183" spans="1:26">
      <c r="A183">
        <v>45</v>
      </c>
      <c r="B183" s="2">
        <v>45240.874950086807</v>
      </c>
      <c r="C183" s="5">
        <v>45208.829078776042</v>
      </c>
      <c r="D183" s="5">
        <v>45272.920821397573</v>
      </c>
      <c r="E183" s="6">
        <f>_xlfn.DAYS(Tabelle1[[#This Row],[End-Zeitfenster]],Tabelle1[[#This Row],[Start-Zeitfenster]])</f>
        <v>64</v>
      </c>
      <c r="F183">
        <v>3</v>
      </c>
      <c r="G183">
        <v>5</v>
      </c>
      <c r="H183">
        <v>2</v>
      </c>
      <c r="I183">
        <v>7.3999999999999996E-2</v>
      </c>
      <c r="J183">
        <v>0.254</v>
      </c>
      <c r="K183">
        <v>0.14699999999999999</v>
      </c>
      <c r="L183">
        <v>4.5449999999999999</v>
      </c>
      <c r="M183">
        <v>1.667</v>
      </c>
      <c r="N183">
        <v>2</v>
      </c>
      <c r="O183">
        <v>66.667000000000002</v>
      </c>
      <c r="P183">
        <v>1</v>
      </c>
      <c r="Q183">
        <v>3</v>
      </c>
      <c r="R183">
        <v>60</v>
      </c>
      <c r="S183">
        <v>1</v>
      </c>
      <c r="T183" t="b">
        <v>0</v>
      </c>
      <c r="U183">
        <v>2.25</v>
      </c>
      <c r="V183">
        <v>4.75</v>
      </c>
      <c r="W183">
        <v>2.5</v>
      </c>
      <c r="X183">
        <v>8.5</v>
      </c>
      <c r="Y183">
        <v>1</v>
      </c>
      <c r="Z183">
        <v>4</v>
      </c>
    </row>
    <row r="184" spans="1:26">
      <c r="A184">
        <v>45</v>
      </c>
      <c r="B184" s="2">
        <v>45401.104306640627</v>
      </c>
      <c r="C184" s="5">
        <v>45369.058435329862</v>
      </c>
      <c r="D184" s="5">
        <v>45433.150177951393</v>
      </c>
      <c r="E184" s="6">
        <f>_xlfn.DAYS(Tabelle1[[#This Row],[End-Zeitfenster]],Tabelle1[[#This Row],[Start-Zeitfenster]])</f>
        <v>64</v>
      </c>
      <c r="F184">
        <v>1</v>
      </c>
      <c r="G184">
        <v>4</v>
      </c>
      <c r="H184">
        <v>3</v>
      </c>
      <c r="I184">
        <v>9.7000000000000003E-2</v>
      </c>
      <c r="J184">
        <v>0.20799999999999999</v>
      </c>
      <c r="K184">
        <v>0.1</v>
      </c>
      <c r="L184">
        <v>3.6360000000000001</v>
      </c>
      <c r="M184">
        <v>1.333</v>
      </c>
      <c r="N184">
        <v>3</v>
      </c>
      <c r="O184">
        <v>300</v>
      </c>
      <c r="P184">
        <v>1</v>
      </c>
      <c r="Q184">
        <v>1</v>
      </c>
      <c r="R184">
        <v>25</v>
      </c>
      <c r="S184">
        <v>1</v>
      </c>
      <c r="T184" t="b">
        <v>0</v>
      </c>
      <c r="U184">
        <v>2.25</v>
      </c>
      <c r="V184">
        <v>4.75</v>
      </c>
      <c r="W184">
        <v>2.5</v>
      </c>
      <c r="X184">
        <v>8.5</v>
      </c>
      <c r="Y184">
        <v>1</v>
      </c>
      <c r="Z184">
        <v>5</v>
      </c>
    </row>
    <row r="185" spans="1:26">
      <c r="A185">
        <v>45</v>
      </c>
      <c r="B185" s="2">
        <v>45304.966692708331</v>
      </c>
      <c r="C185" s="5">
        <v>45272.920821397573</v>
      </c>
      <c r="D185" s="5">
        <v>45369.058435329862</v>
      </c>
      <c r="E185" s="6">
        <f>_xlfn.DAYS(Tabelle1[[#This Row],[End-Zeitfenster]],Tabelle1[[#This Row],[Start-Zeitfenster]])</f>
        <v>97</v>
      </c>
      <c r="F185">
        <v>2</v>
      </c>
      <c r="G185">
        <v>3</v>
      </c>
      <c r="H185">
        <v>1</v>
      </c>
      <c r="I185">
        <v>0.14699999999999999</v>
      </c>
      <c r="J185">
        <v>0.115</v>
      </c>
      <c r="K185">
        <v>9.7000000000000003E-2</v>
      </c>
      <c r="L185">
        <v>2.7269999999999999</v>
      </c>
      <c r="M185">
        <v>1</v>
      </c>
      <c r="N185">
        <v>1</v>
      </c>
      <c r="O185">
        <v>50</v>
      </c>
      <c r="P185">
        <v>1</v>
      </c>
      <c r="Q185">
        <v>2</v>
      </c>
      <c r="R185">
        <v>66.667000000000002</v>
      </c>
      <c r="S185">
        <v>1</v>
      </c>
      <c r="T185" t="b">
        <v>0</v>
      </c>
      <c r="U185">
        <v>2.25</v>
      </c>
      <c r="V185">
        <v>4.75</v>
      </c>
      <c r="W185">
        <v>2.5</v>
      </c>
      <c r="X185">
        <v>8.5</v>
      </c>
      <c r="Y185">
        <v>1</v>
      </c>
      <c r="Z185">
        <v>6</v>
      </c>
    </row>
    <row r="186" spans="1:26">
      <c r="A186">
        <v>45</v>
      </c>
      <c r="B186" s="2">
        <v>45529.287791883682</v>
      </c>
      <c r="C186" s="5">
        <v>45497.241920572917</v>
      </c>
      <c r="D186" s="5">
        <v>45561.333663194448</v>
      </c>
      <c r="E186" s="6">
        <f>_xlfn.DAYS(Tabelle1[[#This Row],[End-Zeitfenster]],Tabelle1[[#This Row],[Start-Zeitfenster]])</f>
        <v>64</v>
      </c>
      <c r="F186">
        <v>2</v>
      </c>
      <c r="G186">
        <v>3</v>
      </c>
      <c r="H186">
        <v>1</v>
      </c>
      <c r="I186">
        <v>0.14299999999999999</v>
      </c>
      <c r="J186">
        <v>0.27400000000000002</v>
      </c>
      <c r="K186">
        <v>8.7999999999999995E-2</v>
      </c>
      <c r="L186">
        <v>2.7269999999999999</v>
      </c>
      <c r="M186">
        <v>1</v>
      </c>
      <c r="N186">
        <v>1</v>
      </c>
      <c r="O186">
        <v>50</v>
      </c>
      <c r="P186">
        <v>1</v>
      </c>
      <c r="Q186">
        <v>2</v>
      </c>
      <c r="R186">
        <v>66.667000000000002</v>
      </c>
      <c r="S186">
        <v>1</v>
      </c>
      <c r="T186" t="b">
        <v>0</v>
      </c>
      <c r="U186">
        <v>2.25</v>
      </c>
      <c r="V186">
        <v>4.75</v>
      </c>
      <c r="W186">
        <v>2.5</v>
      </c>
      <c r="X186">
        <v>8.5</v>
      </c>
      <c r="Y186">
        <v>1</v>
      </c>
      <c r="Z186">
        <v>7</v>
      </c>
    </row>
    <row r="187" spans="1:26">
      <c r="A187">
        <v>46</v>
      </c>
      <c r="B187" s="2">
        <v>45176.783207465283</v>
      </c>
      <c r="C187" s="5">
        <v>45144.737336154511</v>
      </c>
      <c r="D187" s="5">
        <v>45337.012564019104</v>
      </c>
      <c r="E187" s="6">
        <f>_xlfn.DAYS(Tabelle1[[#This Row],[End-Zeitfenster]],Tabelle1[[#This Row],[Start-Zeitfenster]])</f>
        <v>193</v>
      </c>
      <c r="F187">
        <v>2</v>
      </c>
      <c r="G187">
        <v>17</v>
      </c>
      <c r="H187">
        <v>2</v>
      </c>
      <c r="I187">
        <v>0.24399999999999999</v>
      </c>
      <c r="J187">
        <v>1.163</v>
      </c>
      <c r="K187">
        <v>0.127</v>
      </c>
      <c r="L187">
        <v>15.455</v>
      </c>
      <c r="M187">
        <v>6.8</v>
      </c>
      <c r="N187">
        <v>15</v>
      </c>
      <c r="O187">
        <v>750</v>
      </c>
      <c r="P187">
        <v>1</v>
      </c>
      <c r="Q187">
        <v>15</v>
      </c>
      <c r="R187">
        <v>88.234999999999999</v>
      </c>
      <c r="S187">
        <v>3</v>
      </c>
      <c r="T187" t="b">
        <v>1</v>
      </c>
      <c r="U187">
        <v>2</v>
      </c>
      <c r="V187">
        <v>4</v>
      </c>
      <c r="W187">
        <v>2</v>
      </c>
      <c r="X187">
        <v>7</v>
      </c>
      <c r="Y187">
        <v>2</v>
      </c>
      <c r="Z187">
        <v>1</v>
      </c>
    </row>
    <row r="188" spans="1:26">
      <c r="A188">
        <v>46</v>
      </c>
      <c r="B188" s="2">
        <v>45817.700633680557</v>
      </c>
      <c r="C188" s="5">
        <v>45785.654762369792</v>
      </c>
      <c r="D188" s="5">
        <v>45849.746504991323</v>
      </c>
      <c r="E188" s="6">
        <f>_xlfn.DAYS(Tabelle1[[#This Row],[End-Zeitfenster]],Tabelle1[[#This Row],[Start-Zeitfenster]])</f>
        <v>64</v>
      </c>
      <c r="F188">
        <v>1</v>
      </c>
      <c r="G188">
        <v>6</v>
      </c>
      <c r="H188">
        <v>2</v>
      </c>
      <c r="I188">
        <v>7.8E-2</v>
      </c>
      <c r="J188">
        <v>0.87</v>
      </c>
      <c r="K188">
        <v>0.22800000000000001</v>
      </c>
      <c r="L188">
        <v>5.4550000000000001</v>
      </c>
      <c r="M188">
        <v>2.4</v>
      </c>
      <c r="N188">
        <v>5</v>
      </c>
      <c r="O188">
        <v>500</v>
      </c>
      <c r="P188">
        <v>1</v>
      </c>
      <c r="Q188">
        <v>4</v>
      </c>
      <c r="R188">
        <v>66.667000000000002</v>
      </c>
      <c r="S188">
        <v>1</v>
      </c>
      <c r="T188" t="b">
        <v>0</v>
      </c>
      <c r="U188">
        <v>2</v>
      </c>
      <c r="V188">
        <v>4</v>
      </c>
      <c r="W188">
        <v>2</v>
      </c>
      <c r="X188">
        <v>7</v>
      </c>
      <c r="Y188">
        <v>1</v>
      </c>
      <c r="Z188">
        <v>2</v>
      </c>
    </row>
    <row r="189" spans="1:26">
      <c r="A189">
        <v>46</v>
      </c>
      <c r="B189" s="2">
        <v>45401.104306640627</v>
      </c>
      <c r="C189" s="5">
        <v>45369.058435329862</v>
      </c>
      <c r="D189" s="5">
        <v>45465.196049262151</v>
      </c>
      <c r="E189" s="6">
        <f>_xlfn.DAYS(Tabelle1[[#This Row],[End-Zeitfenster]],Tabelle1[[#This Row],[Start-Zeitfenster]])</f>
        <v>96</v>
      </c>
      <c r="F189">
        <v>2</v>
      </c>
      <c r="G189">
        <v>4</v>
      </c>
      <c r="H189">
        <v>1</v>
      </c>
      <c r="I189">
        <v>0.19400000000000001</v>
      </c>
      <c r="J189">
        <v>0.20799999999999999</v>
      </c>
      <c r="K189">
        <v>6.6000000000000003E-2</v>
      </c>
      <c r="L189">
        <v>3.6360000000000001</v>
      </c>
      <c r="M189">
        <v>1.6</v>
      </c>
      <c r="N189">
        <v>2</v>
      </c>
      <c r="O189">
        <v>100</v>
      </c>
      <c r="P189">
        <v>1</v>
      </c>
      <c r="Q189">
        <v>3</v>
      </c>
      <c r="R189">
        <v>75</v>
      </c>
      <c r="S189">
        <v>2</v>
      </c>
      <c r="T189" t="b">
        <v>0</v>
      </c>
      <c r="U189">
        <v>2</v>
      </c>
      <c r="V189">
        <v>4</v>
      </c>
      <c r="W189">
        <v>2</v>
      </c>
      <c r="X189">
        <v>7</v>
      </c>
      <c r="Y189">
        <v>1</v>
      </c>
      <c r="Z189">
        <v>3</v>
      </c>
    </row>
    <row r="190" spans="1:26">
      <c r="A190">
        <v>46</v>
      </c>
      <c r="B190" s="2">
        <v>45497.241920572917</v>
      </c>
      <c r="C190" s="5">
        <v>45465.196049262151</v>
      </c>
      <c r="D190" s="5">
        <v>45561.333663194448</v>
      </c>
      <c r="E190" s="6">
        <f>_xlfn.DAYS(Tabelle1[[#This Row],[End-Zeitfenster]],Tabelle1[[#This Row],[Start-Zeitfenster]])</f>
        <v>96</v>
      </c>
      <c r="F190">
        <v>1</v>
      </c>
      <c r="G190">
        <v>3</v>
      </c>
      <c r="H190">
        <v>1</v>
      </c>
      <c r="I190">
        <v>6.6000000000000003E-2</v>
      </c>
      <c r="J190">
        <v>0.214</v>
      </c>
      <c r="K190">
        <v>8.7999999999999995E-2</v>
      </c>
      <c r="L190">
        <v>2.7269999999999999</v>
      </c>
      <c r="M190">
        <v>1.2</v>
      </c>
      <c r="N190">
        <v>2</v>
      </c>
      <c r="O190">
        <v>200</v>
      </c>
      <c r="P190">
        <v>1</v>
      </c>
      <c r="Q190">
        <v>2</v>
      </c>
      <c r="R190">
        <v>66.667000000000002</v>
      </c>
      <c r="S190">
        <v>2</v>
      </c>
      <c r="T190" t="b">
        <v>0</v>
      </c>
      <c r="U190">
        <v>2</v>
      </c>
      <c r="V190">
        <v>4</v>
      </c>
      <c r="W190">
        <v>2</v>
      </c>
      <c r="X190">
        <v>7</v>
      </c>
      <c r="Y190">
        <v>1</v>
      </c>
      <c r="Z190">
        <v>4</v>
      </c>
    </row>
    <row r="191" spans="1:26">
      <c r="A191">
        <v>46</v>
      </c>
      <c r="B191" s="2">
        <v>45625.425405815971</v>
      </c>
      <c r="C191" s="5">
        <v>45561.333663194448</v>
      </c>
      <c r="D191" s="5">
        <v>45753.608891059033</v>
      </c>
      <c r="E191" s="6">
        <f>_xlfn.DAYS(Tabelle1[[#This Row],[End-Zeitfenster]],Tabelle1[[#This Row],[Start-Zeitfenster]])</f>
        <v>192</v>
      </c>
      <c r="F191">
        <v>1</v>
      </c>
      <c r="G191">
        <v>3</v>
      </c>
      <c r="H191">
        <v>1</v>
      </c>
      <c r="I191">
        <v>8.7999999999999995E-2</v>
      </c>
      <c r="J191">
        <v>0.25</v>
      </c>
      <c r="K191">
        <v>4.5999999999999999E-2</v>
      </c>
      <c r="L191">
        <v>2.7269999999999999</v>
      </c>
      <c r="M191">
        <v>1.2</v>
      </c>
      <c r="N191">
        <v>2</v>
      </c>
      <c r="O191">
        <v>200</v>
      </c>
      <c r="P191">
        <v>2</v>
      </c>
      <c r="Q191">
        <v>2</v>
      </c>
      <c r="R191">
        <v>66.667000000000002</v>
      </c>
      <c r="S191">
        <v>2</v>
      </c>
      <c r="T191" t="b">
        <v>0</v>
      </c>
      <c r="U191">
        <v>2</v>
      </c>
      <c r="V191">
        <v>4</v>
      </c>
      <c r="W191">
        <v>2</v>
      </c>
      <c r="X191">
        <v>7</v>
      </c>
      <c r="Y191">
        <v>1</v>
      </c>
      <c r="Z191">
        <v>5</v>
      </c>
    </row>
    <row r="192" spans="1:26">
      <c r="A192">
        <v>49</v>
      </c>
      <c r="B192" s="2">
        <v>45208.829078776042</v>
      </c>
      <c r="C192" s="5">
        <v>45144.737336154511</v>
      </c>
      <c r="D192" s="5">
        <v>45272.920821397573</v>
      </c>
      <c r="E192" s="6">
        <f>_xlfn.DAYS(Tabelle1[[#This Row],[End-Zeitfenster]],Tabelle1[[#This Row],[Start-Zeitfenster]])</f>
        <v>128</v>
      </c>
      <c r="F192">
        <v>1</v>
      </c>
      <c r="G192">
        <v>10</v>
      </c>
      <c r="H192">
        <v>3</v>
      </c>
      <c r="I192">
        <v>0.122</v>
      </c>
      <c r="J192">
        <v>0.246</v>
      </c>
      <c r="K192">
        <v>0.22</v>
      </c>
      <c r="L192">
        <v>10</v>
      </c>
      <c r="M192">
        <v>3.3330000000000002</v>
      </c>
      <c r="N192">
        <v>9</v>
      </c>
      <c r="O192">
        <v>900</v>
      </c>
      <c r="P192">
        <v>2</v>
      </c>
      <c r="Q192">
        <v>7</v>
      </c>
      <c r="R192">
        <v>70</v>
      </c>
      <c r="S192">
        <v>2</v>
      </c>
      <c r="T192" t="b">
        <v>1</v>
      </c>
      <c r="U192">
        <v>2</v>
      </c>
      <c r="V192">
        <v>5</v>
      </c>
      <c r="W192">
        <v>3</v>
      </c>
      <c r="X192">
        <v>9.5</v>
      </c>
      <c r="Y192">
        <v>1</v>
      </c>
      <c r="Z192">
        <v>1</v>
      </c>
    </row>
    <row r="193" spans="1:26">
      <c r="A193">
        <v>49</v>
      </c>
      <c r="B193" s="2">
        <v>45112.691464843752</v>
      </c>
      <c r="C193" s="5">
        <v>45047.574254340281</v>
      </c>
      <c r="D193" s="5">
        <v>45144.737336154511</v>
      </c>
      <c r="E193" s="6">
        <f>_xlfn.DAYS(Tabelle1[[#This Row],[End-Zeitfenster]],Tabelle1[[#This Row],[Start-Zeitfenster]])</f>
        <v>97</v>
      </c>
      <c r="F193">
        <v>1</v>
      </c>
      <c r="G193">
        <v>7</v>
      </c>
      <c r="H193">
        <v>1</v>
      </c>
      <c r="I193">
        <v>0.16400000000000001</v>
      </c>
      <c r="J193">
        <v>0.629</v>
      </c>
      <c r="K193">
        <v>0.122</v>
      </c>
      <c r="L193">
        <v>7</v>
      </c>
      <c r="M193">
        <v>2.3330000000000002</v>
      </c>
      <c r="N193">
        <v>6</v>
      </c>
      <c r="O193">
        <v>600</v>
      </c>
      <c r="P193">
        <v>2</v>
      </c>
      <c r="Q193">
        <v>6</v>
      </c>
      <c r="R193">
        <v>85.713999999999999</v>
      </c>
      <c r="S193">
        <v>1</v>
      </c>
      <c r="T193" t="b">
        <v>0</v>
      </c>
      <c r="U193">
        <v>2</v>
      </c>
      <c r="V193">
        <v>5</v>
      </c>
      <c r="W193">
        <v>3</v>
      </c>
      <c r="X193">
        <v>9.5</v>
      </c>
      <c r="Y193">
        <v>1</v>
      </c>
      <c r="Z193">
        <v>2</v>
      </c>
    </row>
    <row r="194" spans="1:26">
      <c r="A194">
        <v>49</v>
      </c>
      <c r="B194" s="2">
        <v>45625.425405815971</v>
      </c>
      <c r="C194" s="5">
        <v>45529.287791883682</v>
      </c>
      <c r="D194" s="5">
        <v>45657.471277126737</v>
      </c>
      <c r="E194" s="6">
        <f>_xlfn.DAYS(Tabelle1[[#This Row],[End-Zeitfenster]],Tabelle1[[#This Row],[Start-Zeitfenster]])</f>
        <v>128</v>
      </c>
      <c r="F194">
        <v>1</v>
      </c>
      <c r="G194">
        <v>6</v>
      </c>
      <c r="H194">
        <v>4</v>
      </c>
      <c r="I194">
        <v>9.0999999999999998E-2</v>
      </c>
      <c r="J194">
        <v>0.501</v>
      </c>
      <c r="K194">
        <v>0.108</v>
      </c>
      <c r="L194">
        <v>6</v>
      </c>
      <c r="M194">
        <v>2</v>
      </c>
      <c r="N194">
        <v>5</v>
      </c>
      <c r="O194">
        <v>500</v>
      </c>
      <c r="P194">
        <v>2</v>
      </c>
      <c r="Q194">
        <v>2</v>
      </c>
      <c r="R194">
        <v>33.332999999999998</v>
      </c>
      <c r="S194">
        <v>1</v>
      </c>
      <c r="T194" t="b">
        <v>0</v>
      </c>
      <c r="U194">
        <v>2</v>
      </c>
      <c r="V194">
        <v>5</v>
      </c>
      <c r="W194">
        <v>3</v>
      </c>
      <c r="X194">
        <v>9.5</v>
      </c>
      <c r="Y194">
        <v>1</v>
      </c>
      <c r="Z194">
        <v>3</v>
      </c>
    </row>
    <row r="195" spans="1:26">
      <c r="A195">
        <v>49</v>
      </c>
      <c r="B195" s="2">
        <v>45689.517148437502</v>
      </c>
      <c r="C195" s="5">
        <v>45657.471277126737</v>
      </c>
      <c r="D195" s="5">
        <v>45721.563019748261</v>
      </c>
      <c r="E195" s="6">
        <f>_xlfn.DAYS(Tabelle1[[#This Row],[End-Zeitfenster]],Tabelle1[[#This Row],[Start-Zeitfenster]])</f>
        <v>64</v>
      </c>
      <c r="F195">
        <v>4</v>
      </c>
      <c r="G195">
        <v>6</v>
      </c>
      <c r="H195">
        <v>1</v>
      </c>
      <c r="I195">
        <v>0.108</v>
      </c>
      <c r="J195">
        <v>0.215</v>
      </c>
      <c r="K195">
        <v>0.19500000000000001</v>
      </c>
      <c r="L195">
        <v>6</v>
      </c>
      <c r="M195">
        <v>2</v>
      </c>
      <c r="N195">
        <v>2</v>
      </c>
      <c r="O195">
        <v>50</v>
      </c>
      <c r="P195">
        <v>1</v>
      </c>
      <c r="Q195">
        <v>5</v>
      </c>
      <c r="R195">
        <v>83.332999999999998</v>
      </c>
      <c r="S195">
        <v>1</v>
      </c>
      <c r="T195" t="b">
        <v>0</v>
      </c>
      <c r="U195">
        <v>2</v>
      </c>
      <c r="V195">
        <v>5</v>
      </c>
      <c r="W195">
        <v>3</v>
      </c>
      <c r="X195">
        <v>9.5</v>
      </c>
      <c r="Y195">
        <v>1</v>
      </c>
      <c r="Z195">
        <v>4</v>
      </c>
    </row>
    <row r="196" spans="1:26">
      <c r="A196">
        <v>49</v>
      </c>
      <c r="B196" s="2">
        <v>45337.012564019104</v>
      </c>
      <c r="C196" s="5">
        <v>45272.920821397573</v>
      </c>
      <c r="D196" s="5">
        <v>45369.058435329862</v>
      </c>
      <c r="E196" s="6">
        <f>_xlfn.DAYS(Tabelle1[[#This Row],[End-Zeitfenster]],Tabelle1[[#This Row],[Start-Zeitfenster]])</f>
        <v>97</v>
      </c>
      <c r="F196">
        <v>3</v>
      </c>
      <c r="G196">
        <v>5</v>
      </c>
      <c r="H196">
        <v>3</v>
      </c>
      <c r="I196">
        <v>0.22</v>
      </c>
      <c r="J196">
        <v>0.317</v>
      </c>
      <c r="K196">
        <v>0.29099999999999998</v>
      </c>
      <c r="L196">
        <v>5</v>
      </c>
      <c r="M196">
        <v>1.667</v>
      </c>
      <c r="N196">
        <v>2</v>
      </c>
      <c r="O196">
        <v>66.667000000000002</v>
      </c>
      <c r="P196">
        <v>2</v>
      </c>
      <c r="Q196">
        <v>2</v>
      </c>
      <c r="R196">
        <v>40</v>
      </c>
      <c r="S196">
        <v>1</v>
      </c>
      <c r="T196" t="b">
        <v>0</v>
      </c>
      <c r="U196">
        <v>2</v>
      </c>
      <c r="V196">
        <v>5</v>
      </c>
      <c r="W196">
        <v>3</v>
      </c>
      <c r="X196">
        <v>9.5</v>
      </c>
      <c r="Y196">
        <v>1</v>
      </c>
      <c r="Z196">
        <v>5</v>
      </c>
    </row>
    <row r="197" spans="1:26">
      <c r="A197">
        <v>49</v>
      </c>
      <c r="B197" s="2">
        <v>45433.150177951393</v>
      </c>
      <c r="C197" s="5">
        <v>45401.104306640627</v>
      </c>
      <c r="D197" s="5">
        <v>45529.287791883682</v>
      </c>
      <c r="E197" s="6">
        <f>_xlfn.DAYS(Tabelle1[[#This Row],[End-Zeitfenster]],Tabelle1[[#This Row],[Start-Zeitfenster]])</f>
        <v>128</v>
      </c>
      <c r="F197">
        <v>3</v>
      </c>
      <c r="G197">
        <v>5</v>
      </c>
      <c r="H197">
        <v>1</v>
      </c>
      <c r="I197">
        <v>0.156</v>
      </c>
      <c r="J197">
        <v>0.16600000000000001</v>
      </c>
      <c r="K197">
        <v>9.0999999999999998E-2</v>
      </c>
      <c r="L197">
        <v>5</v>
      </c>
      <c r="M197">
        <v>1.667</v>
      </c>
      <c r="N197">
        <v>2</v>
      </c>
      <c r="O197">
        <v>66.667000000000002</v>
      </c>
      <c r="P197">
        <v>1</v>
      </c>
      <c r="Q197">
        <v>4</v>
      </c>
      <c r="R197">
        <v>80</v>
      </c>
      <c r="S197">
        <v>3</v>
      </c>
      <c r="T197" t="b">
        <v>0</v>
      </c>
      <c r="U197">
        <v>2</v>
      </c>
      <c r="V197">
        <v>5</v>
      </c>
      <c r="W197">
        <v>3</v>
      </c>
      <c r="X197">
        <v>9.5</v>
      </c>
      <c r="Y197">
        <v>1</v>
      </c>
      <c r="Z197">
        <v>6</v>
      </c>
    </row>
    <row r="198" spans="1:26">
      <c r="A198">
        <v>49</v>
      </c>
      <c r="B198" s="2">
        <v>45753.608891059033</v>
      </c>
      <c r="C198" s="5">
        <v>45721.563019748261</v>
      </c>
      <c r="D198" s="5">
        <v>45817.700633680557</v>
      </c>
      <c r="E198" s="6">
        <f>_xlfn.DAYS(Tabelle1[[#This Row],[End-Zeitfenster]],Tabelle1[[#This Row],[Start-Zeitfenster]])</f>
        <v>96</v>
      </c>
      <c r="F198">
        <v>1</v>
      </c>
      <c r="G198">
        <v>4</v>
      </c>
      <c r="H198">
        <v>2</v>
      </c>
      <c r="I198">
        <v>0.19500000000000001</v>
      </c>
      <c r="J198">
        <v>0.182</v>
      </c>
      <c r="K198">
        <v>0.28999999999999998</v>
      </c>
      <c r="L198">
        <v>4</v>
      </c>
      <c r="M198">
        <v>1.333</v>
      </c>
      <c r="N198">
        <v>3</v>
      </c>
      <c r="O198">
        <v>300</v>
      </c>
      <c r="P198">
        <v>1</v>
      </c>
      <c r="Q198">
        <v>2</v>
      </c>
      <c r="R198">
        <v>50</v>
      </c>
      <c r="S198">
        <v>2</v>
      </c>
      <c r="T198" t="b">
        <v>0</v>
      </c>
      <c r="U198">
        <v>2</v>
      </c>
      <c r="V198">
        <v>5</v>
      </c>
      <c r="W198">
        <v>3</v>
      </c>
      <c r="X198">
        <v>9.5</v>
      </c>
      <c r="Y198">
        <v>1</v>
      </c>
      <c r="Z198">
        <v>7</v>
      </c>
    </row>
    <row r="199" spans="1:26">
      <c r="A199">
        <v>49</v>
      </c>
      <c r="B199" s="2">
        <v>45849.746504991323</v>
      </c>
      <c r="C199" s="5">
        <v>45817.700633680557</v>
      </c>
      <c r="D199" s="5">
        <v>45881.792376302081</v>
      </c>
      <c r="E199" s="6">
        <f>_xlfn.DAYS(Tabelle1[[#This Row],[End-Zeitfenster]],Tabelle1[[#This Row],[Start-Zeitfenster]])</f>
        <v>64</v>
      </c>
      <c r="F199">
        <v>2</v>
      </c>
      <c r="G199">
        <v>3</v>
      </c>
      <c r="H199">
        <v>2</v>
      </c>
      <c r="I199">
        <v>0.28999999999999998</v>
      </c>
      <c r="J199">
        <v>0.34200000000000003</v>
      </c>
      <c r="K199">
        <v>0.17499999999999999</v>
      </c>
      <c r="L199">
        <v>3</v>
      </c>
      <c r="M199">
        <v>1</v>
      </c>
      <c r="N199">
        <v>1</v>
      </c>
      <c r="O199">
        <v>50</v>
      </c>
      <c r="P199">
        <v>1</v>
      </c>
      <c r="Q199">
        <v>1</v>
      </c>
      <c r="R199">
        <v>33.332999999999998</v>
      </c>
      <c r="S199">
        <v>1</v>
      </c>
      <c r="T199" t="b">
        <v>0</v>
      </c>
      <c r="U199">
        <v>2</v>
      </c>
      <c r="V199">
        <v>5</v>
      </c>
      <c r="W199">
        <v>3</v>
      </c>
      <c r="X199">
        <v>9.5</v>
      </c>
      <c r="Y199">
        <v>1</v>
      </c>
      <c r="Z199">
        <v>8</v>
      </c>
    </row>
    <row r="200" spans="1:26">
      <c r="A200">
        <v>51</v>
      </c>
      <c r="B200" s="2">
        <v>45433.150177951393</v>
      </c>
      <c r="C200" s="5">
        <v>45369.058435329862</v>
      </c>
      <c r="D200" s="5">
        <v>45465.196049262151</v>
      </c>
      <c r="E200" s="6">
        <f>_xlfn.DAYS(Tabelle1[[#This Row],[End-Zeitfenster]],Tabelle1[[#This Row],[Start-Zeitfenster]])</f>
        <v>96</v>
      </c>
      <c r="F200">
        <v>1</v>
      </c>
      <c r="G200">
        <v>12</v>
      </c>
      <c r="H200">
        <v>1</v>
      </c>
      <c r="I200">
        <v>9.7000000000000003E-2</v>
      </c>
      <c r="J200">
        <v>0.39800000000000002</v>
      </c>
      <c r="K200">
        <v>6.6000000000000003E-2</v>
      </c>
      <c r="L200">
        <v>12.244999999999999</v>
      </c>
      <c r="M200">
        <v>4</v>
      </c>
      <c r="N200">
        <v>11</v>
      </c>
      <c r="O200">
        <v>1100</v>
      </c>
      <c r="P200">
        <v>2</v>
      </c>
      <c r="Q200">
        <v>11</v>
      </c>
      <c r="R200">
        <v>91.667000000000002</v>
      </c>
      <c r="S200">
        <v>1</v>
      </c>
      <c r="T200" t="b">
        <v>1</v>
      </c>
      <c r="U200">
        <v>2</v>
      </c>
      <c r="V200">
        <v>4.5</v>
      </c>
      <c r="W200">
        <v>2.5</v>
      </c>
      <c r="X200">
        <v>8.25</v>
      </c>
      <c r="Y200">
        <v>1</v>
      </c>
      <c r="Z200">
        <v>1</v>
      </c>
    </row>
    <row r="201" spans="1:26">
      <c r="A201">
        <v>51</v>
      </c>
      <c r="B201" s="2">
        <v>45112.691464843752</v>
      </c>
      <c r="C201" s="5">
        <v>45047.574254340281</v>
      </c>
      <c r="D201" s="5">
        <v>45144.737336154511</v>
      </c>
      <c r="E201" s="6">
        <f>_xlfn.DAYS(Tabelle1[[#This Row],[End-Zeitfenster]],Tabelle1[[#This Row],[Start-Zeitfenster]])</f>
        <v>97</v>
      </c>
      <c r="F201">
        <v>3</v>
      </c>
      <c r="G201">
        <v>10</v>
      </c>
      <c r="H201">
        <v>2</v>
      </c>
      <c r="I201">
        <v>0.49099999999999999</v>
      </c>
      <c r="J201">
        <v>0.89900000000000002</v>
      </c>
      <c r="K201">
        <v>0.24399999999999999</v>
      </c>
      <c r="L201">
        <v>10.204000000000001</v>
      </c>
      <c r="M201">
        <v>3.3330000000000002</v>
      </c>
      <c r="N201">
        <v>7</v>
      </c>
      <c r="O201">
        <v>233.333</v>
      </c>
      <c r="P201">
        <v>2</v>
      </c>
      <c r="Q201">
        <v>8</v>
      </c>
      <c r="R201">
        <v>80</v>
      </c>
      <c r="S201">
        <v>1</v>
      </c>
      <c r="T201" t="b">
        <v>1</v>
      </c>
      <c r="U201">
        <v>2</v>
      </c>
      <c r="V201">
        <v>4.5</v>
      </c>
      <c r="W201">
        <v>2.5</v>
      </c>
      <c r="X201">
        <v>8.25</v>
      </c>
      <c r="Y201">
        <v>1</v>
      </c>
      <c r="Z201">
        <v>2</v>
      </c>
    </row>
    <row r="202" spans="1:26">
      <c r="A202">
        <v>51</v>
      </c>
      <c r="B202" s="2">
        <v>45272.920821397573</v>
      </c>
      <c r="C202" s="5">
        <v>45176.783207465283</v>
      </c>
      <c r="D202" s="5">
        <v>45337.012564019104</v>
      </c>
      <c r="E202" s="6">
        <f>_xlfn.DAYS(Tabelle1[[#This Row],[End-Zeitfenster]],Tabelle1[[#This Row],[Start-Zeitfenster]])</f>
        <v>161</v>
      </c>
      <c r="F202">
        <v>2</v>
      </c>
      <c r="G202">
        <v>7</v>
      </c>
      <c r="H202">
        <v>1</v>
      </c>
      <c r="I202">
        <v>0.13700000000000001</v>
      </c>
      <c r="J202">
        <v>0.51400000000000001</v>
      </c>
      <c r="K202">
        <v>6.3E-2</v>
      </c>
      <c r="L202">
        <v>7.1429999999999998</v>
      </c>
      <c r="M202">
        <v>2.3330000000000002</v>
      </c>
      <c r="N202">
        <v>5</v>
      </c>
      <c r="O202">
        <v>250</v>
      </c>
      <c r="P202">
        <v>3</v>
      </c>
      <c r="Q202">
        <v>6</v>
      </c>
      <c r="R202">
        <v>85.713999999999999</v>
      </c>
      <c r="S202">
        <v>2</v>
      </c>
      <c r="T202" t="b">
        <v>0</v>
      </c>
      <c r="U202">
        <v>2</v>
      </c>
      <c r="V202">
        <v>4.5</v>
      </c>
      <c r="W202">
        <v>2.5</v>
      </c>
      <c r="X202">
        <v>8.25</v>
      </c>
      <c r="Y202">
        <v>1</v>
      </c>
      <c r="Z202">
        <v>3</v>
      </c>
    </row>
    <row r="203" spans="1:26">
      <c r="A203">
        <v>51</v>
      </c>
      <c r="B203" s="2">
        <v>45689.517148437502</v>
      </c>
      <c r="C203" s="5">
        <v>45625.425405815971</v>
      </c>
      <c r="D203" s="5">
        <v>45785.654762369792</v>
      </c>
      <c r="E203" s="6">
        <f>_xlfn.DAYS(Tabelle1[[#This Row],[End-Zeitfenster]],Tabelle1[[#This Row],[Start-Zeitfenster]])</f>
        <v>160</v>
      </c>
      <c r="F203">
        <v>1</v>
      </c>
      <c r="G203">
        <v>6</v>
      </c>
      <c r="H203">
        <v>3</v>
      </c>
      <c r="I203">
        <v>8.3000000000000004E-2</v>
      </c>
      <c r="J203">
        <v>0.215</v>
      </c>
      <c r="K203">
        <v>0.23499999999999999</v>
      </c>
      <c r="L203">
        <v>6.1219999999999999</v>
      </c>
      <c r="M203">
        <v>2</v>
      </c>
      <c r="N203">
        <v>5</v>
      </c>
      <c r="O203">
        <v>500</v>
      </c>
      <c r="P203">
        <v>2</v>
      </c>
      <c r="Q203">
        <v>3</v>
      </c>
      <c r="R203">
        <v>50</v>
      </c>
      <c r="S203">
        <v>2</v>
      </c>
      <c r="T203" t="b">
        <v>0</v>
      </c>
      <c r="U203">
        <v>2</v>
      </c>
      <c r="V203">
        <v>4.5</v>
      </c>
      <c r="W203">
        <v>2.5</v>
      </c>
      <c r="X203">
        <v>8.25</v>
      </c>
      <c r="Y203">
        <v>1</v>
      </c>
      <c r="Z203">
        <v>4</v>
      </c>
    </row>
    <row r="204" spans="1:26">
      <c r="A204">
        <v>51</v>
      </c>
      <c r="B204" s="2">
        <v>45497.241920572917</v>
      </c>
      <c r="C204" s="5">
        <v>45465.196049262151</v>
      </c>
      <c r="D204" s="5">
        <v>45529.287791883682</v>
      </c>
      <c r="E204" s="6">
        <f>_xlfn.DAYS(Tabelle1[[#This Row],[End-Zeitfenster]],Tabelle1[[#This Row],[Start-Zeitfenster]])</f>
        <v>64</v>
      </c>
      <c r="F204">
        <v>1</v>
      </c>
      <c r="G204">
        <v>4</v>
      </c>
      <c r="H204">
        <v>2</v>
      </c>
      <c r="I204">
        <v>6.6000000000000003E-2</v>
      </c>
      <c r="J204">
        <v>0.28499999999999998</v>
      </c>
      <c r="K204">
        <v>0.183</v>
      </c>
      <c r="L204">
        <v>4.0819999999999999</v>
      </c>
      <c r="M204">
        <v>1.333</v>
      </c>
      <c r="N204">
        <v>3</v>
      </c>
      <c r="O204">
        <v>300</v>
      </c>
      <c r="P204">
        <v>1</v>
      </c>
      <c r="Q204">
        <v>2</v>
      </c>
      <c r="R204">
        <v>50</v>
      </c>
      <c r="S204">
        <v>1</v>
      </c>
      <c r="T204" t="b">
        <v>0</v>
      </c>
      <c r="U204">
        <v>2</v>
      </c>
      <c r="V204">
        <v>4.5</v>
      </c>
      <c r="W204">
        <v>2.5</v>
      </c>
      <c r="X204">
        <v>8.25</v>
      </c>
      <c r="Y204">
        <v>1</v>
      </c>
      <c r="Z204">
        <v>5</v>
      </c>
    </row>
    <row r="205" spans="1:26">
      <c r="A205">
        <v>51</v>
      </c>
      <c r="B205" s="2">
        <v>45593.379534505213</v>
      </c>
      <c r="C205" s="5">
        <v>45529.287791883682</v>
      </c>
      <c r="D205" s="5">
        <v>45625.425405815971</v>
      </c>
      <c r="E205" s="6">
        <f>_xlfn.DAYS(Tabelle1[[#This Row],[End-Zeitfenster]],Tabelle1[[#This Row],[Start-Zeitfenster]])</f>
        <v>96</v>
      </c>
      <c r="F205">
        <v>2</v>
      </c>
      <c r="G205">
        <v>4</v>
      </c>
      <c r="H205">
        <v>1</v>
      </c>
      <c r="I205">
        <v>0.183</v>
      </c>
      <c r="J205">
        <v>0.51200000000000001</v>
      </c>
      <c r="K205">
        <v>8.3000000000000004E-2</v>
      </c>
      <c r="L205">
        <v>4.0819999999999999</v>
      </c>
      <c r="M205">
        <v>1.333</v>
      </c>
      <c r="N205">
        <v>2</v>
      </c>
      <c r="O205">
        <v>100</v>
      </c>
      <c r="P205">
        <v>1</v>
      </c>
      <c r="Q205">
        <v>3</v>
      </c>
      <c r="R205">
        <v>75</v>
      </c>
      <c r="S205">
        <v>1</v>
      </c>
      <c r="T205" t="b">
        <v>0</v>
      </c>
      <c r="U205">
        <v>2</v>
      </c>
      <c r="V205">
        <v>4.5</v>
      </c>
      <c r="W205">
        <v>2.5</v>
      </c>
      <c r="X205">
        <v>8.25</v>
      </c>
      <c r="Y205">
        <v>1</v>
      </c>
      <c r="Z205">
        <v>6</v>
      </c>
    </row>
    <row r="206" spans="1:26">
      <c r="A206">
        <v>51</v>
      </c>
      <c r="B206" s="2">
        <v>45881.792376302081</v>
      </c>
      <c r="C206" s="5">
        <v>45849.746504991323</v>
      </c>
      <c r="D206" s="5">
        <v>45913.838247612854</v>
      </c>
      <c r="E206" s="6">
        <f>_xlfn.DAYS(Tabelle1[[#This Row],[End-Zeitfenster]],Tabelle1[[#This Row],[Start-Zeitfenster]])</f>
        <v>64</v>
      </c>
      <c r="F206">
        <v>2</v>
      </c>
      <c r="G206">
        <v>3</v>
      </c>
      <c r="H206">
        <v>1</v>
      </c>
      <c r="I206">
        <v>0.22800000000000001</v>
      </c>
      <c r="J206">
        <v>0.26200000000000001</v>
      </c>
      <c r="K206">
        <v>0.186</v>
      </c>
      <c r="L206">
        <v>3.0609999999999999</v>
      </c>
      <c r="M206">
        <v>1</v>
      </c>
      <c r="N206">
        <v>1</v>
      </c>
      <c r="O206">
        <v>50</v>
      </c>
      <c r="P206">
        <v>1</v>
      </c>
      <c r="Q206">
        <v>2</v>
      </c>
      <c r="R206">
        <v>66.667000000000002</v>
      </c>
      <c r="S206">
        <v>1</v>
      </c>
      <c r="T206" t="b">
        <v>0</v>
      </c>
      <c r="U206">
        <v>2</v>
      </c>
      <c r="V206">
        <v>4.5</v>
      </c>
      <c r="W206">
        <v>2.5</v>
      </c>
      <c r="X206">
        <v>8.25</v>
      </c>
      <c r="Y206">
        <v>1</v>
      </c>
      <c r="Z206">
        <v>7</v>
      </c>
    </row>
    <row r="207" spans="1:26">
      <c r="A207">
        <v>52</v>
      </c>
      <c r="B207" s="2">
        <v>45208.829078776042</v>
      </c>
      <c r="C207" s="5">
        <v>45112.691464843752</v>
      </c>
      <c r="D207" s="5">
        <v>45272.920821397573</v>
      </c>
      <c r="E207" s="6">
        <f>_xlfn.DAYS(Tabelle1[[#This Row],[End-Zeitfenster]],Tabelle1[[#This Row],[Start-Zeitfenster]])</f>
        <v>160</v>
      </c>
      <c r="F207">
        <v>2</v>
      </c>
      <c r="G207">
        <v>11</v>
      </c>
      <c r="H207">
        <v>2</v>
      </c>
      <c r="I207">
        <v>0.18</v>
      </c>
      <c r="J207">
        <v>0.27100000000000002</v>
      </c>
      <c r="K207">
        <v>0.14699999999999999</v>
      </c>
      <c r="L207">
        <v>11.957000000000001</v>
      </c>
      <c r="M207">
        <v>3.6669999999999998</v>
      </c>
      <c r="N207">
        <v>9</v>
      </c>
      <c r="O207">
        <v>450</v>
      </c>
      <c r="P207">
        <v>3</v>
      </c>
      <c r="Q207">
        <v>9</v>
      </c>
      <c r="R207">
        <v>81.817999999999998</v>
      </c>
      <c r="S207">
        <v>2</v>
      </c>
      <c r="T207" t="b">
        <v>1</v>
      </c>
      <c r="U207">
        <v>2</v>
      </c>
      <c r="V207">
        <v>5</v>
      </c>
      <c r="W207">
        <v>3</v>
      </c>
      <c r="X207">
        <v>9.5</v>
      </c>
      <c r="Y207">
        <v>1</v>
      </c>
      <c r="Z207">
        <v>1</v>
      </c>
    </row>
    <row r="208" spans="1:26">
      <c r="A208">
        <v>52</v>
      </c>
      <c r="B208" s="2">
        <v>45433.150177951393</v>
      </c>
      <c r="C208" s="5">
        <v>45369.058435329862</v>
      </c>
      <c r="D208" s="5">
        <v>45465.196049262151</v>
      </c>
      <c r="E208" s="6">
        <f>_xlfn.DAYS(Tabelle1[[#This Row],[End-Zeitfenster]],Tabelle1[[#This Row],[Start-Zeitfenster]])</f>
        <v>96</v>
      </c>
      <c r="F208">
        <v>1</v>
      </c>
      <c r="G208">
        <v>8</v>
      </c>
      <c r="H208">
        <v>4</v>
      </c>
      <c r="I208">
        <v>9.7000000000000003E-2</v>
      </c>
      <c r="J208">
        <v>0.26500000000000001</v>
      </c>
      <c r="K208">
        <v>0.26300000000000001</v>
      </c>
      <c r="L208">
        <v>8.6959999999999997</v>
      </c>
      <c r="M208">
        <v>2.6669999999999998</v>
      </c>
      <c r="N208">
        <v>7</v>
      </c>
      <c r="O208">
        <v>700</v>
      </c>
      <c r="P208">
        <v>2</v>
      </c>
      <c r="Q208">
        <v>4</v>
      </c>
      <c r="R208">
        <v>50</v>
      </c>
      <c r="S208">
        <v>1</v>
      </c>
      <c r="T208" t="b">
        <v>0</v>
      </c>
      <c r="U208">
        <v>2</v>
      </c>
      <c r="V208">
        <v>5</v>
      </c>
      <c r="W208">
        <v>3</v>
      </c>
      <c r="X208">
        <v>9.5</v>
      </c>
      <c r="Y208">
        <v>1</v>
      </c>
      <c r="Z208">
        <v>2</v>
      </c>
    </row>
    <row r="209" spans="1:26">
      <c r="A209">
        <v>52</v>
      </c>
      <c r="B209" s="2">
        <v>45529.287791883682</v>
      </c>
      <c r="C209" s="5">
        <v>45465.196049262151</v>
      </c>
      <c r="D209" s="5">
        <v>45561.333663194448</v>
      </c>
      <c r="E209" s="6">
        <f>_xlfn.DAYS(Tabelle1[[#This Row],[End-Zeitfenster]],Tabelle1[[#This Row],[Start-Zeitfenster]])</f>
        <v>96</v>
      </c>
      <c r="F209">
        <v>4</v>
      </c>
      <c r="G209">
        <v>6</v>
      </c>
      <c r="H209">
        <v>2</v>
      </c>
      <c r="I209">
        <v>0.26300000000000001</v>
      </c>
      <c r="J209">
        <v>0.54800000000000004</v>
      </c>
      <c r="K209">
        <v>0.17499999999999999</v>
      </c>
      <c r="L209">
        <v>6.5220000000000002</v>
      </c>
      <c r="M209">
        <v>2</v>
      </c>
      <c r="N209">
        <v>2</v>
      </c>
      <c r="O209">
        <v>50</v>
      </c>
      <c r="P209">
        <v>2</v>
      </c>
      <c r="Q209">
        <v>4</v>
      </c>
      <c r="R209">
        <v>66.667000000000002</v>
      </c>
      <c r="S209">
        <v>1</v>
      </c>
      <c r="T209" t="b">
        <v>0</v>
      </c>
      <c r="U209">
        <v>2</v>
      </c>
      <c r="V209">
        <v>5</v>
      </c>
      <c r="W209">
        <v>3</v>
      </c>
      <c r="X209">
        <v>9.5</v>
      </c>
      <c r="Y209">
        <v>1</v>
      </c>
      <c r="Z209">
        <v>3</v>
      </c>
    </row>
    <row r="210" spans="1:26">
      <c r="A210">
        <v>52</v>
      </c>
      <c r="B210" s="2">
        <v>45337.012564019104</v>
      </c>
      <c r="C210" s="5">
        <v>45304.966692708331</v>
      </c>
      <c r="D210" s="5">
        <v>45369.058435329862</v>
      </c>
      <c r="E210" s="6">
        <f>_xlfn.DAYS(Tabelle1[[#This Row],[End-Zeitfenster]],Tabelle1[[#This Row],[Start-Zeitfenster]])</f>
        <v>65</v>
      </c>
      <c r="F210">
        <v>2</v>
      </c>
      <c r="G210">
        <v>4</v>
      </c>
      <c r="H210">
        <v>1</v>
      </c>
      <c r="I210">
        <v>7.6999999999999999E-2</v>
      </c>
      <c r="J210">
        <v>0.254</v>
      </c>
      <c r="K210">
        <v>9.7000000000000003E-2</v>
      </c>
      <c r="L210">
        <v>4.3479999999999999</v>
      </c>
      <c r="M210">
        <v>1.333</v>
      </c>
      <c r="N210">
        <v>2</v>
      </c>
      <c r="O210">
        <v>100</v>
      </c>
      <c r="P210">
        <v>1</v>
      </c>
      <c r="Q210">
        <v>3</v>
      </c>
      <c r="R210">
        <v>75</v>
      </c>
      <c r="S210">
        <v>1</v>
      </c>
      <c r="T210" t="b">
        <v>0</v>
      </c>
      <c r="U210">
        <v>2</v>
      </c>
      <c r="V210">
        <v>5</v>
      </c>
      <c r="W210">
        <v>3</v>
      </c>
      <c r="X210">
        <v>9.5</v>
      </c>
      <c r="Y210">
        <v>1</v>
      </c>
      <c r="Z210">
        <v>4</v>
      </c>
    </row>
    <row r="211" spans="1:26">
      <c r="A211">
        <v>52</v>
      </c>
      <c r="B211" s="2">
        <v>45625.425405815971</v>
      </c>
      <c r="C211" s="5">
        <v>45593.379534505213</v>
      </c>
      <c r="D211" s="5">
        <v>45753.608891059033</v>
      </c>
      <c r="E211" s="6">
        <f>_xlfn.DAYS(Tabelle1[[#This Row],[End-Zeitfenster]],Tabelle1[[#This Row],[Start-Zeitfenster]])</f>
        <v>160</v>
      </c>
      <c r="F211">
        <v>2</v>
      </c>
      <c r="G211">
        <v>4</v>
      </c>
      <c r="H211">
        <v>2</v>
      </c>
      <c r="I211">
        <v>0.25600000000000001</v>
      </c>
      <c r="J211">
        <v>0.33400000000000002</v>
      </c>
      <c r="K211">
        <v>9.0999999999999998E-2</v>
      </c>
      <c r="L211">
        <v>4.3479999999999999</v>
      </c>
      <c r="M211">
        <v>1.333</v>
      </c>
      <c r="N211">
        <v>2</v>
      </c>
      <c r="O211">
        <v>100</v>
      </c>
      <c r="P211">
        <v>1</v>
      </c>
      <c r="Q211">
        <v>2</v>
      </c>
      <c r="R211">
        <v>50</v>
      </c>
      <c r="S211">
        <v>2</v>
      </c>
      <c r="T211" t="b">
        <v>0</v>
      </c>
      <c r="U211">
        <v>2</v>
      </c>
      <c r="V211">
        <v>5</v>
      </c>
      <c r="W211">
        <v>3</v>
      </c>
      <c r="X211">
        <v>9.5</v>
      </c>
      <c r="Y211">
        <v>1</v>
      </c>
      <c r="Z211">
        <v>5</v>
      </c>
    </row>
    <row r="212" spans="1:26">
      <c r="A212">
        <v>52</v>
      </c>
      <c r="B212" s="2">
        <v>45849.746504991323</v>
      </c>
      <c r="C212" s="5">
        <v>45817.700633680557</v>
      </c>
      <c r="D212" s="5">
        <v>45881.792376302081</v>
      </c>
      <c r="E212" s="6">
        <f>_xlfn.DAYS(Tabelle1[[#This Row],[End-Zeitfenster]],Tabelle1[[#This Row],[Start-Zeitfenster]])</f>
        <v>64</v>
      </c>
      <c r="F212">
        <v>1</v>
      </c>
      <c r="G212">
        <v>4</v>
      </c>
      <c r="H212">
        <v>1</v>
      </c>
      <c r="I212">
        <v>0.14499999999999999</v>
      </c>
      <c r="J212">
        <v>0.45600000000000002</v>
      </c>
      <c r="K212">
        <v>8.6999999999999994E-2</v>
      </c>
      <c r="L212">
        <v>4.3479999999999999</v>
      </c>
      <c r="M212">
        <v>1.333</v>
      </c>
      <c r="N212">
        <v>3</v>
      </c>
      <c r="O212">
        <v>300</v>
      </c>
      <c r="P212">
        <v>1</v>
      </c>
      <c r="Q212">
        <v>3</v>
      </c>
      <c r="R212">
        <v>75</v>
      </c>
      <c r="S212">
        <v>1</v>
      </c>
      <c r="T212" t="b">
        <v>0</v>
      </c>
      <c r="U212">
        <v>2</v>
      </c>
      <c r="V212">
        <v>5</v>
      </c>
      <c r="W212">
        <v>3</v>
      </c>
      <c r="X212">
        <v>9.5</v>
      </c>
      <c r="Y212">
        <v>1</v>
      </c>
      <c r="Z212">
        <v>6</v>
      </c>
    </row>
    <row r="213" spans="1:26">
      <c r="A213">
        <v>52</v>
      </c>
      <c r="B213" s="2">
        <v>45785.654762369792</v>
      </c>
      <c r="C213" s="5">
        <v>45753.608891059033</v>
      </c>
      <c r="D213" s="5">
        <v>45817.700633680557</v>
      </c>
      <c r="E213" s="6">
        <f>_xlfn.DAYS(Tabelle1[[#This Row],[End-Zeitfenster]],Tabelle1[[#This Row],[Start-Zeitfenster]])</f>
        <v>64</v>
      </c>
      <c r="F213">
        <v>2</v>
      </c>
      <c r="G213">
        <v>3</v>
      </c>
      <c r="H213">
        <v>1</v>
      </c>
      <c r="I213">
        <v>9.0999999999999998E-2</v>
      </c>
      <c r="J213">
        <v>0.23499999999999999</v>
      </c>
      <c r="K213">
        <v>0.14499999999999999</v>
      </c>
      <c r="L213">
        <v>3.2610000000000001</v>
      </c>
      <c r="M213">
        <v>1</v>
      </c>
      <c r="N213">
        <v>1</v>
      </c>
      <c r="O213">
        <v>50</v>
      </c>
      <c r="P213">
        <v>1</v>
      </c>
      <c r="Q213">
        <v>2</v>
      </c>
      <c r="R213">
        <v>66.667000000000002</v>
      </c>
      <c r="S213">
        <v>1</v>
      </c>
      <c r="T213" t="b">
        <v>0</v>
      </c>
      <c r="U213">
        <v>2</v>
      </c>
      <c r="V213">
        <v>5</v>
      </c>
      <c r="W213">
        <v>3</v>
      </c>
      <c r="X213">
        <v>9.5</v>
      </c>
      <c r="Y213">
        <v>1</v>
      </c>
      <c r="Z213">
        <v>7</v>
      </c>
    </row>
    <row r="214" spans="1:26">
      <c r="A214">
        <v>55</v>
      </c>
      <c r="B214" s="2">
        <v>45433.150177951393</v>
      </c>
      <c r="C214" s="5">
        <v>45272.920821397573</v>
      </c>
      <c r="D214" s="5">
        <v>45465.196049262151</v>
      </c>
      <c r="E214" s="6">
        <f>_xlfn.DAYS(Tabelle1[[#This Row],[End-Zeitfenster]],Tabelle1[[#This Row],[Start-Zeitfenster]])</f>
        <v>193</v>
      </c>
      <c r="F214">
        <v>3</v>
      </c>
      <c r="G214">
        <v>16</v>
      </c>
      <c r="H214">
        <v>2</v>
      </c>
      <c r="I214">
        <v>0.22</v>
      </c>
      <c r="J214">
        <v>0.53100000000000003</v>
      </c>
      <c r="K214">
        <v>0.13200000000000001</v>
      </c>
      <c r="L214">
        <v>18.181999999999999</v>
      </c>
      <c r="M214">
        <v>8</v>
      </c>
      <c r="N214">
        <v>13</v>
      </c>
      <c r="O214">
        <v>433.33300000000003</v>
      </c>
      <c r="P214">
        <v>3</v>
      </c>
      <c r="Q214">
        <v>14</v>
      </c>
      <c r="R214">
        <v>87.5</v>
      </c>
      <c r="S214">
        <v>1</v>
      </c>
      <c r="T214" t="b">
        <v>1</v>
      </c>
      <c r="U214">
        <v>1</v>
      </c>
      <c r="V214">
        <v>4</v>
      </c>
      <c r="W214">
        <v>3</v>
      </c>
      <c r="X214">
        <v>8.5</v>
      </c>
      <c r="Y214">
        <v>1</v>
      </c>
      <c r="Z214">
        <v>1</v>
      </c>
    </row>
    <row r="215" spans="1:26">
      <c r="A215">
        <v>55</v>
      </c>
      <c r="B215" s="2">
        <v>45208.829078776042</v>
      </c>
      <c r="C215" s="5">
        <v>45176.783207465283</v>
      </c>
      <c r="D215" s="5">
        <v>45272.920821397573</v>
      </c>
      <c r="E215" s="6">
        <f>_xlfn.DAYS(Tabelle1[[#This Row],[End-Zeitfenster]],Tabelle1[[#This Row],[Start-Zeitfenster]])</f>
        <v>96</v>
      </c>
      <c r="F215">
        <v>2</v>
      </c>
      <c r="G215">
        <v>13</v>
      </c>
      <c r="H215">
        <v>3</v>
      </c>
      <c r="I215">
        <v>0.13700000000000001</v>
      </c>
      <c r="J215">
        <v>0.32</v>
      </c>
      <c r="K215">
        <v>0.22</v>
      </c>
      <c r="L215">
        <v>14.773</v>
      </c>
      <c r="M215">
        <v>6.5</v>
      </c>
      <c r="N215">
        <v>11</v>
      </c>
      <c r="O215">
        <v>550</v>
      </c>
      <c r="P215">
        <v>1</v>
      </c>
      <c r="Q215">
        <v>10</v>
      </c>
      <c r="R215">
        <v>76.923000000000002</v>
      </c>
      <c r="S215">
        <v>2</v>
      </c>
      <c r="T215" t="b">
        <v>1</v>
      </c>
      <c r="U215">
        <v>1</v>
      </c>
      <c r="V215">
        <v>4</v>
      </c>
      <c r="W215">
        <v>3</v>
      </c>
      <c r="X215">
        <v>8.5</v>
      </c>
      <c r="Y215">
        <v>1</v>
      </c>
      <c r="Z215">
        <v>2</v>
      </c>
    </row>
    <row r="216" spans="1:26">
      <c r="A216">
        <v>55</v>
      </c>
      <c r="B216" s="2">
        <v>45529.287791883682</v>
      </c>
      <c r="C216" s="5">
        <v>45465.196049262151</v>
      </c>
      <c r="D216" s="5">
        <v>45593.379534505213</v>
      </c>
      <c r="E216" s="6">
        <f>_xlfn.DAYS(Tabelle1[[#This Row],[End-Zeitfenster]],Tabelle1[[#This Row],[Start-Zeitfenster]])</f>
        <v>128</v>
      </c>
      <c r="F216">
        <v>2</v>
      </c>
      <c r="G216">
        <v>4</v>
      </c>
      <c r="H216">
        <v>1</v>
      </c>
      <c r="I216">
        <v>0.13200000000000001</v>
      </c>
      <c r="J216">
        <v>0.36499999999999999</v>
      </c>
      <c r="K216">
        <v>0.128</v>
      </c>
      <c r="L216">
        <v>4.5449999999999999</v>
      </c>
      <c r="M216">
        <v>2</v>
      </c>
      <c r="N216">
        <v>2</v>
      </c>
      <c r="O216">
        <v>100</v>
      </c>
      <c r="P216">
        <v>2</v>
      </c>
      <c r="Q216">
        <v>3</v>
      </c>
      <c r="R216">
        <v>75</v>
      </c>
      <c r="S216">
        <v>2</v>
      </c>
      <c r="T216" t="b">
        <v>0</v>
      </c>
      <c r="U216">
        <v>1</v>
      </c>
      <c r="V216">
        <v>4</v>
      </c>
      <c r="W216">
        <v>3</v>
      </c>
      <c r="X216">
        <v>8.5</v>
      </c>
      <c r="Y216">
        <v>1</v>
      </c>
      <c r="Z216">
        <v>3</v>
      </c>
    </row>
    <row r="217" spans="1:26">
      <c r="A217">
        <v>55</v>
      </c>
      <c r="B217" s="2">
        <v>45657.471277126737</v>
      </c>
      <c r="C217" s="5">
        <v>45625.425405815971</v>
      </c>
      <c r="D217" s="5">
        <v>45689.517148437502</v>
      </c>
      <c r="E217" s="6">
        <f>_xlfn.DAYS(Tabelle1[[#This Row],[End-Zeitfenster]],Tabelle1[[#This Row],[Start-Zeitfenster]])</f>
        <v>64</v>
      </c>
      <c r="F217">
        <v>1</v>
      </c>
      <c r="G217">
        <v>3</v>
      </c>
      <c r="H217">
        <v>2</v>
      </c>
      <c r="I217">
        <v>8.3000000000000004E-2</v>
      </c>
      <c r="J217">
        <v>8.1000000000000003E-2</v>
      </c>
      <c r="K217">
        <v>7.1999999999999995E-2</v>
      </c>
      <c r="L217">
        <v>3.4089999999999998</v>
      </c>
      <c r="M217">
        <v>1.5</v>
      </c>
      <c r="N217">
        <v>2</v>
      </c>
      <c r="O217">
        <v>200</v>
      </c>
      <c r="P217">
        <v>1</v>
      </c>
      <c r="Q217">
        <v>1</v>
      </c>
      <c r="R217">
        <v>33.332999999999998</v>
      </c>
      <c r="S217">
        <v>1</v>
      </c>
      <c r="T217" t="b">
        <v>0</v>
      </c>
      <c r="U217">
        <v>1</v>
      </c>
      <c r="V217">
        <v>4</v>
      </c>
      <c r="W217">
        <v>3</v>
      </c>
      <c r="X217">
        <v>8.5</v>
      </c>
      <c r="Y217">
        <v>1</v>
      </c>
      <c r="Z217">
        <v>4</v>
      </c>
    </row>
    <row r="218" spans="1:26">
      <c r="A218">
        <v>55</v>
      </c>
      <c r="B218" s="2">
        <v>45753.608891059033</v>
      </c>
      <c r="C218" s="5">
        <v>45689.517148437502</v>
      </c>
      <c r="D218" s="5">
        <v>45817.700633680557</v>
      </c>
      <c r="E218" s="6">
        <f>_xlfn.DAYS(Tabelle1[[#This Row],[End-Zeitfenster]],Tabelle1[[#This Row],[Start-Zeitfenster]])</f>
        <v>128</v>
      </c>
      <c r="F218">
        <v>2</v>
      </c>
      <c r="G218">
        <v>3</v>
      </c>
      <c r="H218">
        <v>1</v>
      </c>
      <c r="I218">
        <v>7.1999999999999995E-2</v>
      </c>
      <c r="J218">
        <v>0.13700000000000001</v>
      </c>
      <c r="K218">
        <v>0.14499999999999999</v>
      </c>
      <c r="L218">
        <v>3.4089999999999998</v>
      </c>
      <c r="M218">
        <v>1.5</v>
      </c>
      <c r="N218">
        <v>1</v>
      </c>
      <c r="O218">
        <v>50</v>
      </c>
      <c r="P218">
        <v>1</v>
      </c>
      <c r="Q218">
        <v>2</v>
      </c>
      <c r="R218">
        <v>66.667000000000002</v>
      </c>
      <c r="S218">
        <v>1</v>
      </c>
      <c r="T218" t="b">
        <v>0</v>
      </c>
      <c r="U218">
        <v>1</v>
      </c>
      <c r="V218">
        <v>4</v>
      </c>
      <c r="W218">
        <v>3</v>
      </c>
      <c r="X218">
        <v>8.5</v>
      </c>
      <c r="Y218">
        <v>1</v>
      </c>
      <c r="Z218">
        <v>5</v>
      </c>
    </row>
    <row r="219" spans="1:26">
      <c r="A219">
        <v>60</v>
      </c>
      <c r="B219" s="2">
        <v>45208.829078776042</v>
      </c>
      <c r="C219" s="5">
        <v>45112.691464843752</v>
      </c>
      <c r="D219" s="5">
        <v>45369.058435329862</v>
      </c>
      <c r="E219" s="6">
        <f>_xlfn.DAYS(Tabelle1[[#This Row],[End-Zeitfenster]],Tabelle1[[#This Row],[Start-Zeitfenster]])</f>
        <v>257</v>
      </c>
      <c r="F219">
        <v>1</v>
      </c>
      <c r="G219">
        <v>13</v>
      </c>
      <c r="H219">
        <v>1</v>
      </c>
      <c r="I219">
        <v>0.09</v>
      </c>
      <c r="J219">
        <v>0.32</v>
      </c>
      <c r="K219">
        <v>9.7000000000000003E-2</v>
      </c>
      <c r="L219">
        <v>22.414000000000001</v>
      </c>
      <c r="M219">
        <v>6.5</v>
      </c>
      <c r="N219">
        <v>12</v>
      </c>
      <c r="O219">
        <v>1200</v>
      </c>
      <c r="P219">
        <v>1</v>
      </c>
      <c r="Q219">
        <v>12</v>
      </c>
      <c r="R219">
        <v>92.308000000000007</v>
      </c>
      <c r="S219">
        <v>4</v>
      </c>
      <c r="T219" t="b">
        <v>1</v>
      </c>
      <c r="U219">
        <v>1</v>
      </c>
      <c r="V219">
        <v>3.25</v>
      </c>
      <c r="W219">
        <v>2.25</v>
      </c>
      <c r="X219">
        <v>6.625</v>
      </c>
      <c r="Y219">
        <v>1</v>
      </c>
      <c r="Z219">
        <v>1</v>
      </c>
    </row>
    <row r="220" spans="1:26">
      <c r="A220">
        <v>60</v>
      </c>
      <c r="B220" s="2">
        <v>45401.104306640627</v>
      </c>
      <c r="C220" s="5">
        <v>45369.058435329862</v>
      </c>
      <c r="D220" s="5">
        <v>45433.150177951393</v>
      </c>
      <c r="E220" s="6">
        <f>_xlfn.DAYS(Tabelle1[[#This Row],[End-Zeitfenster]],Tabelle1[[#This Row],[Start-Zeitfenster]])</f>
        <v>64</v>
      </c>
      <c r="F220">
        <v>1</v>
      </c>
      <c r="G220">
        <v>7</v>
      </c>
      <c r="H220">
        <v>2</v>
      </c>
      <c r="I220">
        <v>9.7000000000000003E-2</v>
      </c>
      <c r="J220">
        <v>0.36399999999999999</v>
      </c>
      <c r="K220">
        <v>6.6000000000000003E-2</v>
      </c>
      <c r="L220">
        <v>12.069000000000001</v>
      </c>
      <c r="M220">
        <v>3.5</v>
      </c>
      <c r="N220">
        <v>6</v>
      </c>
      <c r="O220">
        <v>600</v>
      </c>
      <c r="P220">
        <v>1</v>
      </c>
      <c r="Q220">
        <v>5</v>
      </c>
      <c r="R220">
        <v>71.429000000000002</v>
      </c>
      <c r="S220">
        <v>1</v>
      </c>
      <c r="T220" t="b">
        <v>1</v>
      </c>
      <c r="U220">
        <v>1</v>
      </c>
      <c r="V220">
        <v>3.25</v>
      </c>
      <c r="W220">
        <v>2.25</v>
      </c>
      <c r="X220">
        <v>6.625</v>
      </c>
      <c r="Y220">
        <v>1</v>
      </c>
      <c r="Z220">
        <v>2</v>
      </c>
    </row>
    <row r="221" spans="1:26">
      <c r="A221">
        <v>60</v>
      </c>
      <c r="B221" s="2">
        <v>45497.241920572917</v>
      </c>
      <c r="C221" s="5">
        <v>45433.150177951393</v>
      </c>
      <c r="D221" s="5">
        <v>45561.333663194448</v>
      </c>
      <c r="E221" s="6">
        <f>_xlfn.DAYS(Tabelle1[[#This Row],[End-Zeitfenster]],Tabelle1[[#This Row],[Start-Zeitfenster]])</f>
        <v>128</v>
      </c>
      <c r="F221">
        <v>2</v>
      </c>
      <c r="G221">
        <v>5</v>
      </c>
      <c r="H221">
        <v>1</v>
      </c>
      <c r="I221">
        <v>6.6000000000000003E-2</v>
      </c>
      <c r="J221">
        <v>0.35599999999999998</v>
      </c>
      <c r="K221">
        <v>8.7999999999999995E-2</v>
      </c>
      <c r="L221">
        <v>8.6210000000000004</v>
      </c>
      <c r="M221">
        <v>2.5</v>
      </c>
      <c r="N221">
        <v>3</v>
      </c>
      <c r="O221">
        <v>150</v>
      </c>
      <c r="P221">
        <v>2</v>
      </c>
      <c r="Q221">
        <v>4</v>
      </c>
      <c r="R221">
        <v>80</v>
      </c>
      <c r="S221">
        <v>2</v>
      </c>
      <c r="T221" t="b">
        <v>0</v>
      </c>
      <c r="U221">
        <v>1</v>
      </c>
      <c r="V221">
        <v>3.25</v>
      </c>
      <c r="W221">
        <v>2.25</v>
      </c>
      <c r="X221">
        <v>6.625</v>
      </c>
      <c r="Y221">
        <v>1</v>
      </c>
      <c r="Z221">
        <v>3</v>
      </c>
    </row>
    <row r="222" spans="1:26">
      <c r="A222">
        <v>60</v>
      </c>
      <c r="B222" s="2">
        <v>45753.608891059033</v>
      </c>
      <c r="C222" s="5">
        <v>45721.563019748261</v>
      </c>
      <c r="D222" s="5">
        <v>45785.654762369792</v>
      </c>
      <c r="E222" s="6">
        <f>_xlfn.DAYS(Tabelle1[[#This Row],[End-Zeitfenster]],Tabelle1[[#This Row],[Start-Zeitfenster]])</f>
        <v>64</v>
      </c>
      <c r="F222">
        <v>1</v>
      </c>
      <c r="G222">
        <v>2</v>
      </c>
      <c r="H222">
        <v>1</v>
      </c>
      <c r="I222">
        <v>0.19500000000000001</v>
      </c>
      <c r="J222">
        <v>9.0999999999999998E-2</v>
      </c>
      <c r="K222">
        <v>7.8E-2</v>
      </c>
      <c r="L222">
        <v>3.448</v>
      </c>
      <c r="M222">
        <v>1</v>
      </c>
      <c r="N222">
        <v>1</v>
      </c>
      <c r="O222">
        <v>100</v>
      </c>
      <c r="P222">
        <v>1</v>
      </c>
      <c r="Q222">
        <v>1</v>
      </c>
      <c r="R222">
        <v>50</v>
      </c>
      <c r="S222">
        <v>1</v>
      </c>
      <c r="T222" t="b">
        <v>0</v>
      </c>
      <c r="U222">
        <v>1</v>
      </c>
      <c r="V222">
        <v>3.25</v>
      </c>
      <c r="W222">
        <v>2.25</v>
      </c>
      <c r="X222">
        <v>6.625</v>
      </c>
      <c r="Y222">
        <v>1</v>
      </c>
      <c r="Z222">
        <v>4</v>
      </c>
    </row>
    <row r="223" spans="1:26">
      <c r="A223">
        <v>65</v>
      </c>
      <c r="B223" s="2">
        <v>45465.196049262151</v>
      </c>
      <c r="C223" s="5">
        <v>45369.058435329862</v>
      </c>
      <c r="D223" s="5">
        <v>45529.287791883682</v>
      </c>
      <c r="E223" s="6">
        <f>_xlfn.DAYS(Tabelle1[[#This Row],[End-Zeitfenster]],Tabelle1[[#This Row],[Start-Zeitfenster]])</f>
        <v>160</v>
      </c>
      <c r="F223">
        <v>1</v>
      </c>
      <c r="G223">
        <v>10</v>
      </c>
      <c r="H223">
        <v>1</v>
      </c>
      <c r="I223">
        <v>9.7000000000000003E-2</v>
      </c>
      <c r="J223">
        <v>0.65800000000000003</v>
      </c>
      <c r="K223">
        <v>9.0999999999999998E-2</v>
      </c>
      <c r="L223">
        <v>19.608000000000001</v>
      </c>
      <c r="M223">
        <v>10</v>
      </c>
      <c r="N223">
        <v>9</v>
      </c>
      <c r="O223">
        <v>900</v>
      </c>
      <c r="P223">
        <v>3</v>
      </c>
      <c r="Q223">
        <v>9</v>
      </c>
      <c r="R223">
        <v>90</v>
      </c>
      <c r="S223">
        <v>2</v>
      </c>
      <c r="T223" t="b">
        <v>1</v>
      </c>
      <c r="U223">
        <v>1</v>
      </c>
      <c r="V223">
        <v>4</v>
      </c>
      <c r="W223">
        <v>3</v>
      </c>
      <c r="X223">
        <v>8.5</v>
      </c>
      <c r="Y223">
        <v>1</v>
      </c>
      <c r="Z223">
        <v>1</v>
      </c>
    </row>
    <row r="224" spans="1:26">
      <c r="A224">
        <v>65</v>
      </c>
      <c r="B224" s="2">
        <v>45176.783207465283</v>
      </c>
      <c r="C224" s="5">
        <v>45144.737336154511</v>
      </c>
      <c r="D224" s="5">
        <v>45208.829078776042</v>
      </c>
      <c r="E224" s="6">
        <f>_xlfn.DAYS(Tabelle1[[#This Row],[End-Zeitfenster]],Tabelle1[[#This Row],[Start-Zeitfenster]])</f>
        <v>64</v>
      </c>
      <c r="F224">
        <v>1</v>
      </c>
      <c r="G224">
        <v>5</v>
      </c>
      <c r="H224">
        <v>1</v>
      </c>
      <c r="I224">
        <v>0.122</v>
      </c>
      <c r="J224">
        <v>0.34200000000000003</v>
      </c>
      <c r="K224">
        <v>2.5000000000000001E-2</v>
      </c>
      <c r="L224">
        <v>9.8040000000000003</v>
      </c>
      <c r="M224">
        <v>5</v>
      </c>
      <c r="N224">
        <v>4</v>
      </c>
      <c r="O224">
        <v>400</v>
      </c>
      <c r="P224">
        <v>1</v>
      </c>
      <c r="Q224">
        <v>4</v>
      </c>
      <c r="R224">
        <v>80</v>
      </c>
      <c r="S224">
        <v>1</v>
      </c>
      <c r="T224" t="b">
        <v>0</v>
      </c>
      <c r="U224">
        <v>1</v>
      </c>
      <c r="V224">
        <v>4</v>
      </c>
      <c r="W224">
        <v>3</v>
      </c>
      <c r="X224">
        <v>8.5</v>
      </c>
      <c r="Y224">
        <v>1</v>
      </c>
      <c r="Z224">
        <v>2</v>
      </c>
    </row>
    <row r="225" spans="1:26">
      <c r="A225">
        <v>65</v>
      </c>
      <c r="B225" s="2">
        <v>45304.966692708331</v>
      </c>
      <c r="C225" s="5">
        <v>45208.829078776042</v>
      </c>
      <c r="D225" s="5">
        <v>45337.012564019104</v>
      </c>
      <c r="E225" s="6">
        <f>_xlfn.DAYS(Tabelle1[[#This Row],[End-Zeitfenster]],Tabelle1[[#This Row],[Start-Zeitfenster]])</f>
        <v>129</v>
      </c>
      <c r="F225">
        <v>1</v>
      </c>
      <c r="G225">
        <v>4</v>
      </c>
      <c r="H225">
        <v>1</v>
      </c>
      <c r="I225">
        <v>2.5000000000000001E-2</v>
      </c>
      <c r="J225">
        <v>0.153</v>
      </c>
      <c r="K225">
        <v>6.3E-2</v>
      </c>
      <c r="L225">
        <v>7.843</v>
      </c>
      <c r="M225">
        <v>4</v>
      </c>
      <c r="N225">
        <v>3</v>
      </c>
      <c r="O225">
        <v>300</v>
      </c>
      <c r="P225">
        <v>1</v>
      </c>
      <c r="Q225">
        <v>3</v>
      </c>
      <c r="R225">
        <v>75</v>
      </c>
      <c r="S225">
        <v>1</v>
      </c>
      <c r="T225" t="b">
        <v>0</v>
      </c>
      <c r="U225">
        <v>1</v>
      </c>
      <c r="V225">
        <v>4</v>
      </c>
      <c r="W225">
        <v>3</v>
      </c>
      <c r="X225">
        <v>8.5</v>
      </c>
      <c r="Y225">
        <v>1</v>
      </c>
      <c r="Z225">
        <v>3</v>
      </c>
    </row>
    <row r="226" spans="1:26">
      <c r="A226">
        <v>65</v>
      </c>
      <c r="B226" s="2">
        <v>45080.645593532987</v>
      </c>
      <c r="C226" s="5">
        <v>45047.574254340281</v>
      </c>
      <c r="D226" s="5">
        <v>45112.691464843752</v>
      </c>
      <c r="E226" s="6">
        <f>_xlfn.DAYS(Tabelle1[[#This Row],[End-Zeitfenster]],Tabelle1[[#This Row],[Start-Zeitfenster]])</f>
        <v>65</v>
      </c>
      <c r="F226">
        <v>1</v>
      </c>
      <c r="G226">
        <v>3</v>
      </c>
      <c r="H226">
        <v>1</v>
      </c>
      <c r="I226">
        <v>0.16400000000000001</v>
      </c>
      <c r="J226">
        <v>0.18</v>
      </c>
      <c r="K226">
        <v>0.09</v>
      </c>
      <c r="L226">
        <v>5.8819999999999997</v>
      </c>
      <c r="M226">
        <v>3</v>
      </c>
      <c r="N226">
        <v>2</v>
      </c>
      <c r="O226">
        <v>200</v>
      </c>
      <c r="P226">
        <v>1</v>
      </c>
      <c r="Q226">
        <v>2</v>
      </c>
      <c r="R226">
        <v>66.667000000000002</v>
      </c>
      <c r="S226">
        <v>1</v>
      </c>
      <c r="T226" t="b">
        <v>0</v>
      </c>
      <c r="U226">
        <v>1</v>
      </c>
      <c r="V226">
        <v>4</v>
      </c>
      <c r="W226">
        <v>3</v>
      </c>
      <c r="X226">
        <v>8.5</v>
      </c>
      <c r="Y226">
        <v>1</v>
      </c>
      <c r="Z226">
        <v>4</v>
      </c>
    </row>
    <row r="227" spans="1:26">
      <c r="A227">
        <v>65</v>
      </c>
      <c r="B227" s="2">
        <v>45625.425405815971</v>
      </c>
      <c r="C227" s="5">
        <v>45593.379534505213</v>
      </c>
      <c r="D227" s="5">
        <v>45689.517148437502</v>
      </c>
      <c r="E227" s="6">
        <f>_xlfn.DAYS(Tabelle1[[#This Row],[End-Zeitfenster]],Tabelle1[[#This Row],[Start-Zeitfenster]])</f>
        <v>96</v>
      </c>
      <c r="F227">
        <v>1</v>
      </c>
      <c r="G227">
        <v>2</v>
      </c>
      <c r="H227">
        <v>1</v>
      </c>
      <c r="I227">
        <v>0.128</v>
      </c>
      <c r="J227">
        <v>0.16700000000000001</v>
      </c>
      <c r="K227">
        <v>3.5999999999999997E-2</v>
      </c>
      <c r="L227">
        <v>3.9220000000000002</v>
      </c>
      <c r="M227">
        <v>2</v>
      </c>
      <c r="N227">
        <v>1</v>
      </c>
      <c r="O227">
        <v>100</v>
      </c>
      <c r="P227">
        <v>1</v>
      </c>
      <c r="Q227">
        <v>1</v>
      </c>
      <c r="R227">
        <v>50</v>
      </c>
      <c r="S227">
        <v>2</v>
      </c>
      <c r="T227" t="b">
        <v>0</v>
      </c>
      <c r="U227">
        <v>1</v>
      </c>
      <c r="V227">
        <v>4</v>
      </c>
      <c r="W227">
        <v>3</v>
      </c>
      <c r="X227">
        <v>8.5</v>
      </c>
      <c r="Y227">
        <v>1</v>
      </c>
      <c r="Z227">
        <v>5</v>
      </c>
    </row>
    <row r="228" spans="1:26">
      <c r="A228">
        <v>67</v>
      </c>
      <c r="B228" s="2">
        <v>45304.966692708331</v>
      </c>
      <c r="C228" s="5">
        <v>45208.829078776042</v>
      </c>
      <c r="D228" s="5">
        <v>45337.012564019104</v>
      </c>
      <c r="E228" s="6">
        <f>_xlfn.DAYS(Tabelle1[[#This Row],[End-Zeitfenster]],Tabelle1[[#This Row],[Start-Zeitfenster]])</f>
        <v>129</v>
      </c>
      <c r="F228">
        <v>1</v>
      </c>
      <c r="G228">
        <v>7</v>
      </c>
      <c r="H228">
        <v>1</v>
      </c>
      <c r="I228">
        <v>2.5000000000000001E-2</v>
      </c>
      <c r="J228">
        <v>0.26800000000000002</v>
      </c>
      <c r="K228">
        <v>6.3E-2</v>
      </c>
      <c r="L228">
        <v>14.286</v>
      </c>
      <c r="M228">
        <v>7</v>
      </c>
      <c r="N228">
        <v>6</v>
      </c>
      <c r="O228">
        <v>600</v>
      </c>
      <c r="P228">
        <v>2</v>
      </c>
      <c r="Q228">
        <v>6</v>
      </c>
      <c r="R228">
        <v>85.713999999999999</v>
      </c>
      <c r="S228">
        <v>1</v>
      </c>
      <c r="T228" t="b">
        <v>1</v>
      </c>
      <c r="U228">
        <v>1</v>
      </c>
      <c r="V228">
        <v>3.25</v>
      </c>
      <c r="W228">
        <v>2.25</v>
      </c>
      <c r="X228">
        <v>6.625</v>
      </c>
      <c r="Y228">
        <v>1</v>
      </c>
      <c r="Z228">
        <v>1</v>
      </c>
    </row>
    <row r="229" spans="1:26">
      <c r="A229">
        <v>67</v>
      </c>
      <c r="B229" s="2">
        <v>45657.471277126737</v>
      </c>
      <c r="C229" s="5">
        <v>45625.425405815971</v>
      </c>
      <c r="D229" s="5">
        <v>45753.608891059033</v>
      </c>
      <c r="E229" s="6">
        <f>_xlfn.DAYS(Tabelle1[[#This Row],[End-Zeitfenster]],Tabelle1[[#This Row],[Start-Zeitfenster]])</f>
        <v>128</v>
      </c>
      <c r="F229">
        <v>1</v>
      </c>
      <c r="G229">
        <v>6</v>
      </c>
      <c r="H229">
        <v>1</v>
      </c>
      <c r="I229">
        <v>8.3000000000000004E-2</v>
      </c>
      <c r="J229">
        <v>0.16300000000000001</v>
      </c>
      <c r="K229">
        <v>4.5999999999999999E-2</v>
      </c>
      <c r="L229">
        <v>12.244999999999999</v>
      </c>
      <c r="M229">
        <v>6</v>
      </c>
      <c r="N229">
        <v>5</v>
      </c>
      <c r="O229">
        <v>500</v>
      </c>
      <c r="P229">
        <v>1</v>
      </c>
      <c r="Q229">
        <v>5</v>
      </c>
      <c r="R229">
        <v>83.332999999999998</v>
      </c>
      <c r="S229">
        <v>3</v>
      </c>
      <c r="T229" t="b">
        <v>0</v>
      </c>
      <c r="U229">
        <v>1</v>
      </c>
      <c r="V229">
        <v>3.25</v>
      </c>
      <c r="W229">
        <v>2.25</v>
      </c>
      <c r="X229">
        <v>6.625</v>
      </c>
      <c r="Y229">
        <v>1</v>
      </c>
      <c r="Z229">
        <v>2</v>
      </c>
    </row>
    <row r="230" spans="1:26">
      <c r="A230">
        <v>67</v>
      </c>
      <c r="B230" s="2">
        <v>45433.150177951393</v>
      </c>
      <c r="C230" s="5">
        <v>45401.104306640627</v>
      </c>
      <c r="D230" s="5">
        <v>45497.241920572917</v>
      </c>
      <c r="E230" s="6">
        <f>_xlfn.DAYS(Tabelle1[[#This Row],[End-Zeitfenster]],Tabelle1[[#This Row],[Start-Zeitfenster]])</f>
        <v>96</v>
      </c>
      <c r="F230">
        <v>1</v>
      </c>
      <c r="G230">
        <v>5</v>
      </c>
      <c r="H230">
        <v>1</v>
      </c>
      <c r="I230">
        <v>5.1999999999999998E-2</v>
      </c>
      <c r="J230">
        <v>0.16600000000000001</v>
      </c>
      <c r="K230">
        <v>7.0999999999999994E-2</v>
      </c>
      <c r="L230">
        <v>10.204000000000001</v>
      </c>
      <c r="M230">
        <v>5</v>
      </c>
      <c r="N230">
        <v>4</v>
      </c>
      <c r="O230">
        <v>400</v>
      </c>
      <c r="P230">
        <v>1</v>
      </c>
      <c r="Q230">
        <v>4</v>
      </c>
      <c r="R230">
        <v>80</v>
      </c>
      <c r="S230">
        <v>2</v>
      </c>
      <c r="T230" t="b">
        <v>0</v>
      </c>
      <c r="U230">
        <v>1</v>
      </c>
      <c r="V230">
        <v>3.25</v>
      </c>
      <c r="W230">
        <v>2.25</v>
      </c>
      <c r="X230">
        <v>6.625</v>
      </c>
      <c r="Y230">
        <v>1</v>
      </c>
      <c r="Z230">
        <v>3</v>
      </c>
    </row>
    <row r="231" spans="1:26">
      <c r="A231">
        <v>67</v>
      </c>
      <c r="B231" s="2">
        <v>45112.691464843752</v>
      </c>
      <c r="C231" s="5">
        <v>45080.645593532987</v>
      </c>
      <c r="D231" s="5">
        <v>45144.737336154511</v>
      </c>
      <c r="E231" s="6">
        <f>_xlfn.DAYS(Tabelle1[[#This Row],[End-Zeitfenster]],Tabelle1[[#This Row],[Start-Zeitfenster]])</f>
        <v>64</v>
      </c>
      <c r="F231">
        <v>1</v>
      </c>
      <c r="G231">
        <v>3</v>
      </c>
      <c r="H231">
        <v>1</v>
      </c>
      <c r="I231">
        <v>0.06</v>
      </c>
      <c r="J231">
        <v>0.27</v>
      </c>
      <c r="K231">
        <v>0.122</v>
      </c>
      <c r="L231">
        <v>6.1219999999999999</v>
      </c>
      <c r="M231">
        <v>3</v>
      </c>
      <c r="N231">
        <v>2</v>
      </c>
      <c r="O231">
        <v>200</v>
      </c>
      <c r="P231">
        <v>1</v>
      </c>
      <c r="Q231">
        <v>2</v>
      </c>
      <c r="R231">
        <v>66.667000000000002</v>
      </c>
      <c r="S231">
        <v>1</v>
      </c>
      <c r="T231" t="b">
        <v>0</v>
      </c>
      <c r="U231">
        <v>1</v>
      </c>
      <c r="V231">
        <v>3.25</v>
      </c>
      <c r="W231">
        <v>2.25</v>
      </c>
      <c r="X231">
        <v>6.625</v>
      </c>
      <c r="Y231">
        <v>1</v>
      </c>
      <c r="Z231">
        <v>4</v>
      </c>
    </row>
    <row r="232" spans="1:26">
      <c r="A232">
        <v>67</v>
      </c>
      <c r="B232" s="2">
        <v>45176.783207465283</v>
      </c>
      <c r="C232" s="5">
        <v>45144.737336154511</v>
      </c>
      <c r="D232" s="5">
        <v>45208.829078776042</v>
      </c>
      <c r="E232" s="6">
        <f>_xlfn.DAYS(Tabelle1[[#This Row],[End-Zeitfenster]],Tabelle1[[#This Row],[Start-Zeitfenster]])</f>
        <v>64</v>
      </c>
      <c r="F232">
        <v>1</v>
      </c>
      <c r="G232">
        <v>2</v>
      </c>
      <c r="H232">
        <v>1</v>
      </c>
      <c r="I232">
        <v>0.122</v>
      </c>
      <c r="J232">
        <v>0.13700000000000001</v>
      </c>
      <c r="K232">
        <v>2.5000000000000001E-2</v>
      </c>
      <c r="L232">
        <v>4.0819999999999999</v>
      </c>
      <c r="M232">
        <v>2</v>
      </c>
      <c r="N232">
        <v>1</v>
      </c>
      <c r="O232">
        <v>100</v>
      </c>
      <c r="P232">
        <v>1</v>
      </c>
      <c r="Q232">
        <v>1</v>
      </c>
      <c r="R232">
        <v>50</v>
      </c>
      <c r="S232">
        <v>1</v>
      </c>
      <c r="T232" t="b">
        <v>0</v>
      </c>
      <c r="U232">
        <v>1</v>
      </c>
      <c r="V232">
        <v>3.25</v>
      </c>
      <c r="W232">
        <v>2.25</v>
      </c>
      <c r="X232">
        <v>6.625</v>
      </c>
      <c r="Y232">
        <v>1</v>
      </c>
      <c r="Z232">
        <v>5</v>
      </c>
    </row>
    <row r="233" spans="1:26">
      <c r="A233">
        <v>71</v>
      </c>
      <c r="B233" s="2">
        <v>45080.645593532987</v>
      </c>
      <c r="C233" s="5">
        <v>45047.574254340281</v>
      </c>
      <c r="D233" s="5">
        <v>45112.691464843752</v>
      </c>
      <c r="E233" s="6">
        <f>_xlfn.DAYS(Tabelle1[[#This Row],[End-Zeitfenster]],Tabelle1[[#This Row],[Start-Zeitfenster]])</f>
        <v>65</v>
      </c>
      <c r="F233">
        <v>1</v>
      </c>
      <c r="G233">
        <v>6</v>
      </c>
      <c r="H233">
        <v>5</v>
      </c>
      <c r="I233">
        <v>0.16400000000000001</v>
      </c>
      <c r="J233">
        <v>0.36099999999999999</v>
      </c>
      <c r="K233">
        <v>0.45</v>
      </c>
      <c r="L233">
        <v>13.635999999999999</v>
      </c>
      <c r="M233">
        <v>3</v>
      </c>
      <c r="N233">
        <v>5</v>
      </c>
      <c r="O233">
        <v>500</v>
      </c>
      <c r="P233">
        <v>1</v>
      </c>
      <c r="Q233">
        <v>1</v>
      </c>
      <c r="R233">
        <v>16.667000000000002</v>
      </c>
      <c r="S233">
        <v>1</v>
      </c>
      <c r="T233" t="b">
        <v>0</v>
      </c>
      <c r="U233">
        <v>1</v>
      </c>
      <c r="V233">
        <v>3</v>
      </c>
      <c r="W233">
        <v>2</v>
      </c>
      <c r="X233">
        <v>6</v>
      </c>
      <c r="Y233">
        <v>1</v>
      </c>
      <c r="Z233">
        <v>1</v>
      </c>
    </row>
    <row r="234" spans="1:26">
      <c r="A234">
        <v>71</v>
      </c>
      <c r="B234" s="2">
        <v>45433.150177951393</v>
      </c>
      <c r="C234" s="5">
        <v>45401.104306640627</v>
      </c>
      <c r="D234" s="5">
        <v>45465.196049262151</v>
      </c>
      <c r="E234" s="6">
        <f>_xlfn.DAYS(Tabelle1[[#This Row],[End-Zeitfenster]],Tabelle1[[#This Row],[Start-Zeitfenster]])</f>
        <v>64</v>
      </c>
      <c r="F234">
        <v>2</v>
      </c>
      <c r="G234">
        <v>3</v>
      </c>
      <c r="H234">
        <v>1</v>
      </c>
      <c r="I234">
        <v>0.104</v>
      </c>
      <c r="J234">
        <v>0.1</v>
      </c>
      <c r="K234">
        <v>6.6000000000000003E-2</v>
      </c>
      <c r="L234">
        <v>6.8179999999999996</v>
      </c>
      <c r="M234">
        <v>1.5</v>
      </c>
      <c r="N234">
        <v>1</v>
      </c>
      <c r="O234">
        <v>50</v>
      </c>
      <c r="P234">
        <v>1</v>
      </c>
      <c r="Q234">
        <v>2</v>
      </c>
      <c r="R234">
        <v>66.667000000000002</v>
      </c>
      <c r="S234">
        <v>1</v>
      </c>
      <c r="T234" t="b">
        <v>0</v>
      </c>
      <c r="U234">
        <v>1</v>
      </c>
      <c r="V234">
        <v>3</v>
      </c>
      <c r="W234">
        <v>2</v>
      </c>
      <c r="X234">
        <v>6</v>
      </c>
      <c r="Y234">
        <v>1</v>
      </c>
      <c r="Z234">
        <v>2</v>
      </c>
    </row>
    <row r="235" spans="1:26">
      <c r="A235">
        <v>71</v>
      </c>
      <c r="B235" s="2">
        <v>45689.517148437502</v>
      </c>
      <c r="C235" s="5">
        <v>45561.333663194448</v>
      </c>
      <c r="D235" s="5">
        <v>45785.654762369792</v>
      </c>
      <c r="E235" s="6">
        <f>_xlfn.DAYS(Tabelle1[[#This Row],[End-Zeitfenster]],Tabelle1[[#This Row],[Start-Zeitfenster]])</f>
        <v>224</v>
      </c>
      <c r="F235">
        <v>1</v>
      </c>
      <c r="G235">
        <v>3</v>
      </c>
      <c r="H235">
        <v>1</v>
      </c>
      <c r="I235">
        <v>8.7999999999999995E-2</v>
      </c>
      <c r="J235">
        <v>0.107</v>
      </c>
      <c r="K235">
        <v>7.8E-2</v>
      </c>
      <c r="L235">
        <v>6.8179999999999996</v>
      </c>
      <c r="M235">
        <v>1.5</v>
      </c>
      <c r="N235">
        <v>2</v>
      </c>
      <c r="O235">
        <v>200</v>
      </c>
      <c r="P235">
        <v>1</v>
      </c>
      <c r="Q235">
        <v>2</v>
      </c>
      <c r="R235">
        <v>66.667000000000002</v>
      </c>
      <c r="S235">
        <v>2</v>
      </c>
      <c r="T235" t="b">
        <v>0</v>
      </c>
      <c r="U235">
        <v>1</v>
      </c>
      <c r="V235">
        <v>3</v>
      </c>
      <c r="W235">
        <v>2</v>
      </c>
      <c r="X235">
        <v>6</v>
      </c>
      <c r="Y235">
        <v>1</v>
      </c>
      <c r="Z235">
        <v>3</v>
      </c>
    </row>
    <row r="236" spans="1:26">
      <c r="A236">
        <v>71</v>
      </c>
      <c r="B236" s="2">
        <v>45272.920821397573</v>
      </c>
      <c r="C236" s="5">
        <v>45240.874950086807</v>
      </c>
      <c r="D236" s="5">
        <v>45304.966692708331</v>
      </c>
      <c r="E236" s="6">
        <f>_xlfn.DAYS(Tabelle1[[#This Row],[End-Zeitfenster]],Tabelle1[[#This Row],[Start-Zeitfenster]])</f>
        <v>64</v>
      </c>
      <c r="F236">
        <v>1</v>
      </c>
      <c r="G236">
        <v>2</v>
      </c>
      <c r="H236">
        <v>1</v>
      </c>
      <c r="I236">
        <v>5.0999999999999997E-2</v>
      </c>
      <c r="J236">
        <v>0.14699999999999999</v>
      </c>
      <c r="K236">
        <v>3.7999999999999999E-2</v>
      </c>
      <c r="L236">
        <v>4.5449999999999999</v>
      </c>
      <c r="M236">
        <v>1</v>
      </c>
      <c r="N236">
        <v>1</v>
      </c>
      <c r="O236">
        <v>100</v>
      </c>
      <c r="P236">
        <v>1</v>
      </c>
      <c r="Q236">
        <v>1</v>
      </c>
      <c r="R236">
        <v>50</v>
      </c>
      <c r="S236">
        <v>1</v>
      </c>
      <c r="T236" t="b">
        <v>0</v>
      </c>
      <c r="U236">
        <v>1</v>
      </c>
      <c r="V236">
        <v>3</v>
      </c>
      <c r="W236">
        <v>2</v>
      </c>
      <c r="X236">
        <v>6</v>
      </c>
      <c r="Y236">
        <v>1</v>
      </c>
      <c r="Z236">
        <v>4</v>
      </c>
    </row>
    <row r="237" spans="1:26">
      <c r="A237">
        <v>71</v>
      </c>
      <c r="B237" s="2">
        <v>45369.058435329862</v>
      </c>
      <c r="C237" s="5">
        <v>45304.966692708331</v>
      </c>
      <c r="D237" s="5">
        <v>45401.104306640627</v>
      </c>
      <c r="E237" s="6">
        <f>_xlfn.DAYS(Tabelle1[[#This Row],[End-Zeitfenster]],Tabelle1[[#This Row],[Start-Zeitfenster]])</f>
        <v>97</v>
      </c>
      <c r="F237">
        <v>1</v>
      </c>
      <c r="G237">
        <v>2</v>
      </c>
      <c r="H237">
        <v>2</v>
      </c>
      <c r="I237">
        <v>3.7999999999999999E-2</v>
      </c>
      <c r="J237">
        <v>0.19400000000000001</v>
      </c>
      <c r="K237">
        <v>0.104</v>
      </c>
      <c r="L237">
        <v>4.5449999999999999</v>
      </c>
      <c r="M237">
        <v>1</v>
      </c>
      <c r="N237">
        <v>1</v>
      </c>
      <c r="O237">
        <v>100</v>
      </c>
      <c r="P237">
        <v>1</v>
      </c>
      <c r="Q237">
        <v>0</v>
      </c>
      <c r="R237">
        <v>0</v>
      </c>
      <c r="S237">
        <v>1</v>
      </c>
      <c r="T237" t="b">
        <v>0</v>
      </c>
      <c r="U237">
        <v>1</v>
      </c>
      <c r="V237">
        <v>3</v>
      </c>
      <c r="W237">
        <v>2</v>
      </c>
      <c r="X237">
        <v>6</v>
      </c>
      <c r="Y237">
        <v>1</v>
      </c>
      <c r="Z237">
        <v>5</v>
      </c>
    </row>
    <row r="238" spans="1:26">
      <c r="A238">
        <v>71</v>
      </c>
      <c r="B238" s="2">
        <v>45849.746504991323</v>
      </c>
      <c r="C238" s="5">
        <v>45785.654762369792</v>
      </c>
      <c r="D238" s="5">
        <v>45881.792376302081</v>
      </c>
      <c r="E238" s="6">
        <f>_xlfn.DAYS(Tabelle1[[#This Row],[End-Zeitfenster]],Tabelle1[[#This Row],[Start-Zeitfenster]])</f>
        <v>96</v>
      </c>
      <c r="F238">
        <v>1</v>
      </c>
      <c r="G238">
        <v>2</v>
      </c>
      <c r="H238">
        <v>1</v>
      </c>
      <c r="I238">
        <v>7.8E-2</v>
      </c>
      <c r="J238">
        <v>0.22800000000000001</v>
      </c>
      <c r="K238">
        <v>8.6999999999999994E-2</v>
      </c>
      <c r="L238">
        <v>4.5449999999999999</v>
      </c>
      <c r="M238">
        <v>1</v>
      </c>
      <c r="N238">
        <v>1</v>
      </c>
      <c r="O238">
        <v>100</v>
      </c>
      <c r="P238">
        <v>1</v>
      </c>
      <c r="Q238">
        <v>1</v>
      </c>
      <c r="R238">
        <v>50</v>
      </c>
      <c r="S238">
        <v>1</v>
      </c>
      <c r="T238" t="b">
        <v>0</v>
      </c>
      <c r="U238">
        <v>1</v>
      </c>
      <c r="V238">
        <v>3</v>
      </c>
      <c r="W238">
        <v>2</v>
      </c>
      <c r="X238">
        <v>6</v>
      </c>
      <c r="Y238">
        <v>1</v>
      </c>
      <c r="Z238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060A-5E6A-49FD-8528-E24E1252029C}">
  <dimension ref="A1:E33"/>
  <sheetViews>
    <sheetView workbookViewId="0">
      <selection activeCell="C3" sqref="C3"/>
    </sheetView>
  </sheetViews>
  <sheetFormatPr baseColWidth="10" defaultRowHeight="15"/>
  <cols>
    <col min="1" max="1" width="5.140625" customWidth="1"/>
  </cols>
  <sheetData>
    <row r="1" spans="1:5">
      <c r="A1" s="8" t="s">
        <v>26</v>
      </c>
      <c r="B1" t="s">
        <v>27</v>
      </c>
      <c r="D1" t="s">
        <v>28</v>
      </c>
    </row>
    <row r="2" spans="1:5">
      <c r="A2" s="8">
        <v>1</v>
      </c>
      <c r="B2" s="5">
        <v>45048</v>
      </c>
      <c r="C2" s="9"/>
      <c r="D2" s="5">
        <v>45080</v>
      </c>
      <c r="E2" s="9"/>
    </row>
    <row r="3" spans="1:5">
      <c r="A3" s="8">
        <v>2</v>
      </c>
      <c r="B3" s="5">
        <v>45080</v>
      </c>
      <c r="C3" s="9"/>
      <c r="D3" s="5">
        <v>45112</v>
      </c>
      <c r="E3" s="9"/>
    </row>
    <row r="4" spans="1:5">
      <c r="A4" s="8">
        <v>3</v>
      </c>
      <c r="B4" s="5">
        <v>45112</v>
      </c>
      <c r="C4" s="9"/>
      <c r="D4" s="5">
        <v>45144</v>
      </c>
      <c r="E4" s="9"/>
    </row>
    <row r="5" spans="1:5">
      <c r="A5" s="8">
        <v>4</v>
      </c>
      <c r="B5" s="5">
        <v>45144</v>
      </c>
      <c r="C5" s="9"/>
      <c r="D5" s="5">
        <v>45176</v>
      </c>
      <c r="E5" s="9"/>
    </row>
    <row r="6" spans="1:5">
      <c r="A6" s="8">
        <v>5</v>
      </c>
      <c r="B6" s="5">
        <v>45176</v>
      </c>
      <c r="C6" s="9"/>
      <c r="D6" s="5">
        <v>45208</v>
      </c>
      <c r="E6" s="9"/>
    </row>
    <row r="7" spans="1:5">
      <c r="A7" s="8">
        <v>6</v>
      </c>
      <c r="B7" s="5">
        <v>45208</v>
      </c>
      <c r="C7" s="9"/>
      <c r="D7" s="5">
        <v>45240</v>
      </c>
      <c r="E7" s="9"/>
    </row>
    <row r="8" spans="1:5">
      <c r="A8" s="8">
        <v>7</v>
      </c>
      <c r="B8" s="5">
        <v>45240</v>
      </c>
      <c r="C8" s="9"/>
      <c r="D8" s="5">
        <v>45272</v>
      </c>
      <c r="E8" s="9"/>
    </row>
    <row r="9" spans="1:5">
      <c r="A9" s="8">
        <v>8</v>
      </c>
      <c r="B9" s="5">
        <v>45272</v>
      </c>
      <c r="C9" s="9"/>
      <c r="D9" s="5">
        <v>45304</v>
      </c>
      <c r="E9" s="9"/>
    </row>
    <row r="10" spans="1:5">
      <c r="A10" s="8">
        <v>9</v>
      </c>
      <c r="B10" s="5">
        <v>45304</v>
      </c>
      <c r="C10" s="9"/>
      <c r="D10" s="5">
        <v>45337</v>
      </c>
      <c r="E10" s="9"/>
    </row>
    <row r="11" spans="1:5">
      <c r="A11" s="8">
        <v>10</v>
      </c>
      <c r="B11" s="5">
        <v>45337</v>
      </c>
      <c r="C11" s="9"/>
      <c r="D11" s="5">
        <v>45369</v>
      </c>
      <c r="E11" s="9"/>
    </row>
    <row r="12" spans="1:5">
      <c r="A12" s="8">
        <v>11</v>
      </c>
      <c r="B12" s="5">
        <v>45369</v>
      </c>
      <c r="C12" s="9"/>
      <c r="D12" s="5">
        <v>45401</v>
      </c>
      <c r="E12" s="9"/>
    </row>
    <row r="13" spans="1:5">
      <c r="A13" s="8">
        <v>12</v>
      </c>
      <c r="B13" s="5">
        <v>45401</v>
      </c>
      <c r="C13" s="9"/>
      <c r="D13" s="5">
        <v>45433</v>
      </c>
      <c r="E13" s="9"/>
    </row>
    <row r="14" spans="1:5">
      <c r="A14" s="8">
        <v>13</v>
      </c>
      <c r="B14" s="5">
        <v>45433</v>
      </c>
      <c r="C14" s="9"/>
      <c r="D14" s="5">
        <v>45465</v>
      </c>
      <c r="E14" s="9"/>
    </row>
    <row r="15" spans="1:5">
      <c r="A15" s="8">
        <v>14</v>
      </c>
      <c r="B15" s="5">
        <v>45465</v>
      </c>
      <c r="C15" s="9"/>
      <c r="D15" s="5">
        <v>45497</v>
      </c>
      <c r="E15" s="9"/>
    </row>
    <row r="16" spans="1:5">
      <c r="A16" s="8">
        <v>15</v>
      </c>
      <c r="B16" s="5">
        <v>45497</v>
      </c>
      <c r="C16" s="9"/>
      <c r="D16" s="5">
        <v>45529</v>
      </c>
      <c r="E16" s="9"/>
    </row>
    <row r="17" spans="1:5">
      <c r="A17" s="8">
        <v>16</v>
      </c>
      <c r="B17" s="5">
        <v>45529</v>
      </c>
      <c r="C17" s="9"/>
      <c r="D17" s="5">
        <v>45561</v>
      </c>
      <c r="E17" s="9"/>
    </row>
    <row r="18" spans="1:5">
      <c r="A18" s="8">
        <v>17</v>
      </c>
      <c r="B18" s="5">
        <v>45561</v>
      </c>
      <c r="C18" s="9"/>
      <c r="D18" s="5">
        <v>45593</v>
      </c>
      <c r="E18" s="9"/>
    </row>
    <row r="19" spans="1:5">
      <c r="A19" s="8">
        <v>18</v>
      </c>
      <c r="B19" s="5">
        <v>45593</v>
      </c>
      <c r="C19" s="9"/>
      <c r="D19" s="5">
        <v>45625</v>
      </c>
      <c r="E19" s="9"/>
    </row>
    <row r="20" spans="1:5">
      <c r="A20" s="8">
        <v>19</v>
      </c>
      <c r="B20" s="5">
        <v>45625</v>
      </c>
      <c r="C20" s="9"/>
      <c r="D20" s="5">
        <v>45657</v>
      </c>
      <c r="E20" s="9"/>
    </row>
    <row r="21" spans="1:5">
      <c r="A21" s="8">
        <v>20</v>
      </c>
      <c r="B21" s="5">
        <v>45657</v>
      </c>
      <c r="C21" s="9"/>
      <c r="D21" s="5">
        <v>45689</v>
      </c>
      <c r="E21" s="9"/>
    </row>
    <row r="22" spans="1:5">
      <c r="A22" s="8">
        <v>21</v>
      </c>
      <c r="B22" s="5">
        <v>45689</v>
      </c>
      <c r="C22" s="9"/>
      <c r="D22" s="5">
        <v>45721</v>
      </c>
      <c r="E22" s="9"/>
    </row>
    <row r="23" spans="1:5">
      <c r="A23" s="8">
        <v>22</v>
      </c>
      <c r="B23" s="5">
        <v>45721</v>
      </c>
      <c r="C23" s="9"/>
      <c r="D23" s="5">
        <v>45753</v>
      </c>
      <c r="E23" s="9"/>
    </row>
    <row r="24" spans="1:5">
      <c r="A24" s="8">
        <v>23</v>
      </c>
      <c r="B24" s="5">
        <v>45753</v>
      </c>
      <c r="C24" s="9"/>
      <c r="D24" s="5">
        <v>45785</v>
      </c>
      <c r="E24" s="9"/>
    </row>
    <row r="25" spans="1:5">
      <c r="A25" s="8">
        <v>24</v>
      </c>
      <c r="B25" s="5">
        <v>45785</v>
      </c>
      <c r="C25" s="9"/>
      <c r="D25" s="5">
        <v>45817</v>
      </c>
      <c r="E25" s="9"/>
    </row>
    <row r="26" spans="1:5">
      <c r="A26" s="8">
        <v>25</v>
      </c>
      <c r="B26" s="5">
        <v>45817</v>
      </c>
      <c r="C26" s="9"/>
      <c r="D26" s="5">
        <v>45849</v>
      </c>
      <c r="E26" s="9"/>
    </row>
    <row r="27" spans="1:5">
      <c r="A27" s="8">
        <v>26</v>
      </c>
      <c r="B27" s="5">
        <v>45849</v>
      </c>
      <c r="C27" s="9"/>
      <c r="D27" s="5">
        <v>45881</v>
      </c>
      <c r="E27" s="9"/>
    </row>
    <row r="28" spans="1:5">
      <c r="A28" s="8">
        <v>27</v>
      </c>
      <c r="B28" s="5">
        <v>45881</v>
      </c>
      <c r="C28" s="9"/>
      <c r="D28" s="5">
        <v>45913</v>
      </c>
      <c r="E28" s="9"/>
    </row>
    <row r="29" spans="1:5">
      <c r="A29" s="8">
        <v>28</v>
      </c>
      <c r="B29" s="5">
        <v>45913</v>
      </c>
      <c r="C29" s="9"/>
      <c r="D29" s="5">
        <v>45945</v>
      </c>
      <c r="E29" s="9"/>
    </row>
    <row r="30" spans="1:5">
      <c r="A30" s="8">
        <v>29</v>
      </c>
      <c r="B30" s="5">
        <v>45945</v>
      </c>
      <c r="C30" s="9"/>
      <c r="D30" s="5">
        <v>45977</v>
      </c>
      <c r="E30" s="9"/>
    </row>
    <row r="31" spans="1:5">
      <c r="A31" s="8">
        <v>30</v>
      </c>
      <c r="B31" s="5">
        <v>45977</v>
      </c>
      <c r="C31" s="9"/>
      <c r="D31" s="5">
        <v>46009</v>
      </c>
      <c r="E31" s="9"/>
    </row>
    <row r="32" spans="1:5">
      <c r="A32" s="8">
        <v>31</v>
      </c>
      <c r="B32" s="5">
        <v>46009</v>
      </c>
      <c r="C32" s="9"/>
      <c r="D32" s="5">
        <v>46042</v>
      </c>
      <c r="E32" s="9"/>
    </row>
    <row r="33" spans="1:5">
      <c r="A33" s="8">
        <v>32</v>
      </c>
      <c r="B33" s="5">
        <v>46042</v>
      </c>
      <c r="C33" s="9"/>
      <c r="D33" s="5">
        <v>46074</v>
      </c>
      <c r="E33" s="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"/>
  <sheetViews>
    <sheetView tabSelected="1" workbookViewId="0">
      <selection activeCell="C10" sqref="C10"/>
    </sheetView>
  </sheetViews>
  <sheetFormatPr baseColWidth="10" defaultColWidth="9.140625"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s="2">
        <v>45657.471277126737</v>
      </c>
      <c r="C2" s="2">
        <v>45593.379534505213</v>
      </c>
      <c r="D2" s="2">
        <v>45721.563019748261</v>
      </c>
      <c r="E2">
        <v>11</v>
      </c>
      <c r="F2">
        <v>177</v>
      </c>
      <c r="G2">
        <v>11</v>
      </c>
      <c r="H2">
        <v>1.407</v>
      </c>
      <c r="I2">
        <v>4.8010000000000002</v>
      </c>
      <c r="J2">
        <v>2.14</v>
      </c>
      <c r="K2">
        <v>12.967000000000001</v>
      </c>
      <c r="L2">
        <v>7.6959999999999997</v>
      </c>
      <c r="M2">
        <v>166</v>
      </c>
      <c r="N2">
        <v>1509.0909999999999</v>
      </c>
      <c r="O2">
        <v>2</v>
      </c>
      <c r="P2">
        <v>166</v>
      </c>
      <c r="Q2">
        <v>93.784999999999997</v>
      </c>
      <c r="R2">
        <v>2</v>
      </c>
      <c r="S2" t="b">
        <v>1</v>
      </c>
      <c r="T2">
        <v>16.75</v>
      </c>
      <c r="U2">
        <v>52.75</v>
      </c>
      <c r="V2">
        <v>36</v>
      </c>
      <c r="W2">
        <v>106.75</v>
      </c>
      <c r="X2">
        <v>2</v>
      </c>
      <c r="Y2">
        <v>1</v>
      </c>
    </row>
    <row r="3" spans="1:25">
      <c r="A3">
        <v>1</v>
      </c>
      <c r="B3" s="2">
        <v>45208.829078776042</v>
      </c>
      <c r="C3" s="2">
        <v>45144.737336154511</v>
      </c>
      <c r="D3" s="2">
        <v>45272.920821397573</v>
      </c>
      <c r="E3">
        <v>20</v>
      </c>
      <c r="F3">
        <v>156</v>
      </c>
      <c r="G3">
        <v>23</v>
      </c>
      <c r="H3">
        <v>2.4449999999999998</v>
      </c>
      <c r="I3">
        <v>3.843</v>
      </c>
      <c r="J3">
        <v>1.6890000000000001</v>
      </c>
      <c r="K3">
        <v>11.429</v>
      </c>
      <c r="L3">
        <v>6.7830000000000004</v>
      </c>
      <c r="M3">
        <v>136</v>
      </c>
      <c r="N3">
        <v>680</v>
      </c>
      <c r="O3">
        <v>2</v>
      </c>
      <c r="P3">
        <v>133</v>
      </c>
      <c r="Q3">
        <v>85.256</v>
      </c>
      <c r="R3">
        <v>2</v>
      </c>
      <c r="S3" t="b">
        <v>1</v>
      </c>
      <c r="T3">
        <v>16.75</v>
      </c>
      <c r="U3">
        <v>52.75</v>
      </c>
      <c r="V3">
        <v>36</v>
      </c>
      <c r="W3">
        <v>106.75</v>
      </c>
      <c r="X3">
        <v>1</v>
      </c>
      <c r="Y3">
        <v>2</v>
      </c>
    </row>
    <row r="4" spans="1:25">
      <c r="A4">
        <v>1</v>
      </c>
      <c r="B4" s="2">
        <v>45753.608891059033</v>
      </c>
      <c r="C4" s="2">
        <v>45721.563019748261</v>
      </c>
      <c r="D4" s="2">
        <v>45817.700633680557</v>
      </c>
      <c r="E4">
        <v>11</v>
      </c>
      <c r="F4">
        <v>108</v>
      </c>
      <c r="G4">
        <v>19</v>
      </c>
      <c r="H4">
        <v>2.14</v>
      </c>
      <c r="I4">
        <v>4.9180000000000001</v>
      </c>
      <c r="J4">
        <v>2.754</v>
      </c>
      <c r="K4">
        <v>7.9119999999999999</v>
      </c>
      <c r="L4">
        <v>4.6959999999999997</v>
      </c>
      <c r="M4">
        <v>97</v>
      </c>
      <c r="N4">
        <v>881.81799999999998</v>
      </c>
      <c r="O4">
        <v>1</v>
      </c>
      <c r="P4">
        <v>89</v>
      </c>
      <c r="Q4">
        <v>82.406999999999996</v>
      </c>
      <c r="R4">
        <v>2</v>
      </c>
      <c r="S4" t="b">
        <v>1</v>
      </c>
      <c r="T4">
        <v>16.75</v>
      </c>
      <c r="U4">
        <v>52.75</v>
      </c>
      <c r="V4">
        <v>36</v>
      </c>
      <c r="W4">
        <v>106.75</v>
      </c>
      <c r="X4">
        <v>1</v>
      </c>
      <c r="Y4">
        <v>3</v>
      </c>
    </row>
    <row r="5" spans="1:25">
      <c r="A5">
        <v>3</v>
      </c>
      <c r="B5" s="2">
        <v>45753.608891059033</v>
      </c>
      <c r="C5" s="2">
        <v>45721.563019748261</v>
      </c>
      <c r="D5" s="2">
        <v>45817.700633680557</v>
      </c>
      <c r="E5">
        <v>5</v>
      </c>
      <c r="F5">
        <v>130</v>
      </c>
      <c r="G5">
        <v>8</v>
      </c>
      <c r="H5">
        <v>0.97299999999999998</v>
      </c>
      <c r="I5">
        <v>5.92</v>
      </c>
      <c r="J5">
        <v>1.159</v>
      </c>
      <c r="K5">
        <v>14.673</v>
      </c>
      <c r="L5">
        <v>6.5</v>
      </c>
      <c r="M5">
        <v>125</v>
      </c>
      <c r="N5">
        <v>2500</v>
      </c>
      <c r="O5">
        <v>1</v>
      </c>
      <c r="P5">
        <v>122</v>
      </c>
      <c r="Q5">
        <v>93.846000000000004</v>
      </c>
      <c r="R5">
        <v>2</v>
      </c>
      <c r="S5" t="b">
        <v>1</v>
      </c>
      <c r="T5">
        <v>11</v>
      </c>
      <c r="U5">
        <v>36.5</v>
      </c>
      <c r="V5">
        <v>25.5</v>
      </c>
      <c r="W5">
        <v>74.75</v>
      </c>
      <c r="X5">
        <v>1</v>
      </c>
      <c r="Y5">
        <v>1</v>
      </c>
    </row>
    <row r="6" spans="1:25">
      <c r="A6">
        <v>3</v>
      </c>
      <c r="B6" s="2">
        <v>45657.471277126737</v>
      </c>
      <c r="C6" s="2">
        <v>45625.425405815971</v>
      </c>
      <c r="D6" s="2">
        <v>45721.563019748261</v>
      </c>
      <c r="E6">
        <v>7</v>
      </c>
      <c r="F6">
        <v>88</v>
      </c>
      <c r="G6">
        <v>5</v>
      </c>
      <c r="H6">
        <v>0.58399999999999996</v>
      </c>
      <c r="I6">
        <v>2.387</v>
      </c>
      <c r="J6">
        <v>0.97299999999999998</v>
      </c>
      <c r="K6">
        <v>9.9320000000000004</v>
      </c>
      <c r="L6">
        <v>4.4000000000000004</v>
      </c>
      <c r="M6">
        <v>81</v>
      </c>
      <c r="N6">
        <v>1157.143</v>
      </c>
      <c r="O6">
        <v>1</v>
      </c>
      <c r="P6">
        <v>83</v>
      </c>
      <c r="Q6">
        <v>94.317999999999998</v>
      </c>
      <c r="R6">
        <v>2</v>
      </c>
      <c r="S6" t="b">
        <v>1</v>
      </c>
      <c r="T6">
        <v>11</v>
      </c>
      <c r="U6">
        <v>36.5</v>
      </c>
      <c r="V6">
        <v>25.5</v>
      </c>
      <c r="W6">
        <v>74.75</v>
      </c>
      <c r="X6">
        <v>1</v>
      </c>
      <c r="Y6">
        <v>2</v>
      </c>
    </row>
    <row r="7" spans="1:25">
      <c r="A7">
        <v>10</v>
      </c>
      <c r="B7" s="2">
        <v>45208.829078776042</v>
      </c>
      <c r="C7" s="2">
        <v>45176.783207465283</v>
      </c>
      <c r="D7" s="2">
        <v>45272.920821397573</v>
      </c>
      <c r="E7">
        <v>6</v>
      </c>
      <c r="F7">
        <v>98</v>
      </c>
      <c r="G7">
        <v>12</v>
      </c>
      <c r="H7">
        <v>0.41</v>
      </c>
      <c r="I7">
        <v>2.4140000000000001</v>
      </c>
      <c r="J7">
        <v>0.88100000000000001</v>
      </c>
      <c r="K7">
        <v>18.882000000000001</v>
      </c>
      <c r="L7">
        <v>8.1669999999999998</v>
      </c>
      <c r="M7">
        <v>92</v>
      </c>
      <c r="N7">
        <v>1533.3330000000001</v>
      </c>
      <c r="O7">
        <v>1</v>
      </c>
      <c r="P7">
        <v>86</v>
      </c>
      <c r="Q7">
        <v>87.754999999999995</v>
      </c>
      <c r="R7">
        <v>2</v>
      </c>
      <c r="S7" t="b">
        <v>1</v>
      </c>
      <c r="T7">
        <v>5.25</v>
      </c>
      <c r="U7">
        <v>16</v>
      </c>
      <c r="V7">
        <v>10.75</v>
      </c>
      <c r="W7">
        <v>32.125</v>
      </c>
      <c r="X7">
        <v>1</v>
      </c>
      <c r="Y7">
        <v>1</v>
      </c>
    </row>
    <row r="8" spans="1:25">
      <c r="A8">
        <v>10</v>
      </c>
      <c r="B8" s="2">
        <v>45401.104306640627</v>
      </c>
      <c r="C8" s="2">
        <v>45337.012564019104</v>
      </c>
      <c r="D8" s="2">
        <v>45465.196049262151</v>
      </c>
      <c r="E8">
        <v>5</v>
      </c>
      <c r="F8">
        <v>65</v>
      </c>
      <c r="G8">
        <v>12</v>
      </c>
      <c r="H8">
        <v>0.317</v>
      </c>
      <c r="I8">
        <v>3.3820000000000001</v>
      </c>
      <c r="J8">
        <v>0.79</v>
      </c>
      <c r="K8">
        <v>12.523999999999999</v>
      </c>
      <c r="L8">
        <v>5.4169999999999998</v>
      </c>
      <c r="M8">
        <v>60</v>
      </c>
      <c r="N8">
        <v>1200</v>
      </c>
      <c r="O8">
        <v>2</v>
      </c>
      <c r="P8">
        <v>53</v>
      </c>
      <c r="Q8">
        <v>81.537999999999997</v>
      </c>
      <c r="R8">
        <v>2</v>
      </c>
      <c r="S8" t="b">
        <v>1</v>
      </c>
      <c r="T8">
        <v>5.25</v>
      </c>
      <c r="U8">
        <v>16</v>
      </c>
      <c r="V8">
        <v>10.75</v>
      </c>
      <c r="W8">
        <v>32.125</v>
      </c>
      <c r="X8">
        <v>2</v>
      </c>
      <c r="Y8">
        <v>2</v>
      </c>
    </row>
    <row r="9" spans="1:25">
      <c r="A9">
        <v>12</v>
      </c>
      <c r="B9" s="2">
        <v>45304.966692708331</v>
      </c>
      <c r="C9" s="2">
        <v>45272.920821397573</v>
      </c>
      <c r="D9" s="2">
        <v>45369.058435329862</v>
      </c>
      <c r="E9">
        <v>6</v>
      </c>
      <c r="F9">
        <v>127</v>
      </c>
      <c r="G9">
        <v>5</v>
      </c>
      <c r="H9">
        <v>0.441</v>
      </c>
      <c r="I9">
        <v>4.8579999999999997</v>
      </c>
      <c r="J9">
        <v>0.48399999999999999</v>
      </c>
      <c r="K9">
        <v>27.43</v>
      </c>
      <c r="L9">
        <v>21.167000000000002</v>
      </c>
      <c r="M9">
        <v>121</v>
      </c>
      <c r="N9">
        <v>2016.6669999999999</v>
      </c>
      <c r="O9">
        <v>1</v>
      </c>
      <c r="P9">
        <v>122</v>
      </c>
      <c r="Q9">
        <v>96.063000000000002</v>
      </c>
      <c r="R9">
        <v>2</v>
      </c>
      <c r="S9" t="b">
        <v>1</v>
      </c>
      <c r="T9">
        <v>3.5</v>
      </c>
      <c r="U9">
        <v>13.5</v>
      </c>
      <c r="V9">
        <v>10</v>
      </c>
      <c r="W9">
        <v>28.5</v>
      </c>
      <c r="X9">
        <v>1</v>
      </c>
      <c r="Y9">
        <v>1</v>
      </c>
    </row>
    <row r="10" spans="1:25">
      <c r="A10">
        <v>12</v>
      </c>
      <c r="B10" s="2">
        <v>45657.471277126737</v>
      </c>
      <c r="C10" s="2">
        <v>45593.379534505213</v>
      </c>
      <c r="D10" s="2">
        <v>45721.563019748261</v>
      </c>
      <c r="E10">
        <v>2</v>
      </c>
      <c r="F10">
        <v>73</v>
      </c>
      <c r="G10">
        <v>5</v>
      </c>
      <c r="H10">
        <v>0.25600000000000001</v>
      </c>
      <c r="I10">
        <v>1.98</v>
      </c>
      <c r="J10">
        <v>0.97299999999999998</v>
      </c>
      <c r="K10">
        <v>15.766999999999999</v>
      </c>
      <c r="L10">
        <v>12.167</v>
      </c>
      <c r="M10">
        <v>71</v>
      </c>
      <c r="N10">
        <v>3550</v>
      </c>
      <c r="O10">
        <v>2</v>
      </c>
      <c r="P10">
        <v>68</v>
      </c>
      <c r="Q10">
        <v>93.150999999999996</v>
      </c>
      <c r="R10">
        <v>2</v>
      </c>
      <c r="S10" t="b">
        <v>1</v>
      </c>
      <c r="T10">
        <v>3.5</v>
      </c>
      <c r="U10">
        <v>13.5</v>
      </c>
      <c r="V10">
        <v>10</v>
      </c>
      <c r="W10">
        <v>28.5</v>
      </c>
      <c r="X10">
        <v>2</v>
      </c>
      <c r="Y10">
        <v>2</v>
      </c>
    </row>
    <row r="11" spans="1:25">
      <c r="A11">
        <v>12</v>
      </c>
      <c r="B11" s="2">
        <v>45433.150177951393</v>
      </c>
      <c r="C11" s="2">
        <v>45369.058435329862</v>
      </c>
      <c r="D11" s="2">
        <v>45465.196049262151</v>
      </c>
      <c r="E11">
        <v>5</v>
      </c>
      <c r="F11">
        <v>37</v>
      </c>
      <c r="G11">
        <v>7</v>
      </c>
      <c r="H11">
        <v>0.48399999999999999</v>
      </c>
      <c r="I11">
        <v>1.2270000000000001</v>
      </c>
      <c r="J11">
        <v>0.46100000000000002</v>
      </c>
      <c r="K11">
        <v>7.9909999999999997</v>
      </c>
      <c r="L11">
        <v>6.1669999999999998</v>
      </c>
      <c r="M11">
        <v>32</v>
      </c>
      <c r="N11">
        <v>640</v>
      </c>
      <c r="O11">
        <v>2</v>
      </c>
      <c r="P11">
        <v>30</v>
      </c>
      <c r="Q11">
        <v>81.081000000000003</v>
      </c>
      <c r="R11">
        <v>1</v>
      </c>
      <c r="S11" t="b">
        <v>1</v>
      </c>
      <c r="T11">
        <v>3.5</v>
      </c>
      <c r="U11">
        <v>13.5</v>
      </c>
      <c r="V11">
        <v>10</v>
      </c>
      <c r="W11">
        <v>28.5</v>
      </c>
      <c r="X11">
        <v>1</v>
      </c>
      <c r="Y11">
        <v>3</v>
      </c>
    </row>
    <row r="12" spans="1:25">
      <c r="A12">
        <v>17</v>
      </c>
      <c r="B12" s="2">
        <v>45625.425405815971</v>
      </c>
      <c r="C12" s="2">
        <v>45593.379534505213</v>
      </c>
      <c r="D12" s="2">
        <v>45721.563019748261</v>
      </c>
      <c r="E12">
        <v>2</v>
      </c>
      <c r="F12">
        <v>106</v>
      </c>
      <c r="G12">
        <v>6</v>
      </c>
      <c r="H12">
        <v>0.25600000000000001</v>
      </c>
      <c r="I12">
        <v>8.8480000000000008</v>
      </c>
      <c r="J12">
        <v>1.167</v>
      </c>
      <c r="K12">
        <v>27.11</v>
      </c>
      <c r="L12">
        <v>14.132999999999999</v>
      </c>
      <c r="M12">
        <v>104</v>
      </c>
      <c r="N12">
        <v>5200</v>
      </c>
      <c r="O12">
        <v>1</v>
      </c>
      <c r="P12">
        <v>100</v>
      </c>
      <c r="Q12">
        <v>94.34</v>
      </c>
      <c r="R12">
        <v>3</v>
      </c>
      <c r="S12" t="b">
        <v>1</v>
      </c>
      <c r="T12">
        <v>5.25</v>
      </c>
      <c r="U12">
        <v>11</v>
      </c>
      <c r="V12">
        <v>5.75</v>
      </c>
      <c r="W12">
        <v>19.625</v>
      </c>
      <c r="X12">
        <v>3</v>
      </c>
      <c r="Y12">
        <v>1</v>
      </c>
    </row>
    <row r="13" spans="1:25">
      <c r="A13">
        <v>17</v>
      </c>
      <c r="B13" s="2">
        <v>45529.287791883682</v>
      </c>
      <c r="C13" s="2">
        <v>45465.196049262151</v>
      </c>
      <c r="D13" s="2">
        <v>45593.379534505213</v>
      </c>
      <c r="E13">
        <v>9</v>
      </c>
      <c r="F13">
        <v>27</v>
      </c>
      <c r="G13">
        <v>2</v>
      </c>
      <c r="H13">
        <v>0.59199999999999997</v>
      </c>
      <c r="I13">
        <v>2.4660000000000002</v>
      </c>
      <c r="J13">
        <v>0.25600000000000001</v>
      </c>
      <c r="K13">
        <v>6.9050000000000002</v>
      </c>
      <c r="L13">
        <v>3.6</v>
      </c>
      <c r="M13">
        <v>18</v>
      </c>
      <c r="N13">
        <v>200</v>
      </c>
      <c r="O13">
        <v>2</v>
      </c>
      <c r="P13">
        <v>25</v>
      </c>
      <c r="Q13">
        <v>92.593000000000004</v>
      </c>
      <c r="R13">
        <v>2</v>
      </c>
      <c r="S13" t="b">
        <v>1</v>
      </c>
      <c r="T13">
        <v>5.25</v>
      </c>
      <c r="U13">
        <v>11</v>
      </c>
      <c r="V13">
        <v>5.75</v>
      </c>
      <c r="W13">
        <v>19.625</v>
      </c>
      <c r="X13">
        <v>1</v>
      </c>
      <c r="Y13">
        <v>2</v>
      </c>
    </row>
    <row r="14" spans="1:25">
      <c r="A14">
        <v>19</v>
      </c>
      <c r="B14" s="2">
        <v>45657.471277126737</v>
      </c>
      <c r="C14" s="2">
        <v>45625.425405815971</v>
      </c>
      <c r="D14" s="2">
        <v>45721.563019748261</v>
      </c>
      <c r="E14">
        <v>5</v>
      </c>
      <c r="F14">
        <v>38</v>
      </c>
      <c r="G14">
        <v>4</v>
      </c>
      <c r="H14">
        <v>0.41699999999999998</v>
      </c>
      <c r="I14">
        <v>1.0309999999999999</v>
      </c>
      <c r="J14">
        <v>0.77800000000000002</v>
      </c>
      <c r="K14">
        <v>11.912000000000001</v>
      </c>
      <c r="L14">
        <v>3.8</v>
      </c>
      <c r="M14">
        <v>33</v>
      </c>
      <c r="N14">
        <v>660</v>
      </c>
      <c r="O14">
        <v>1</v>
      </c>
      <c r="P14">
        <v>34</v>
      </c>
      <c r="Q14">
        <v>89.474000000000004</v>
      </c>
      <c r="R14">
        <v>2</v>
      </c>
      <c r="S14" t="b">
        <v>1</v>
      </c>
      <c r="T14">
        <v>6</v>
      </c>
      <c r="U14">
        <v>13</v>
      </c>
      <c r="V14">
        <v>7</v>
      </c>
      <c r="W14">
        <v>23.5</v>
      </c>
      <c r="X14">
        <v>1</v>
      </c>
      <c r="Y14">
        <v>1</v>
      </c>
    </row>
    <row r="15" spans="1:25">
      <c r="A15">
        <v>21</v>
      </c>
      <c r="B15" s="2">
        <v>45433.150177951393</v>
      </c>
      <c r="C15" s="2">
        <v>45369.058435329862</v>
      </c>
      <c r="D15" s="2">
        <v>45465.196049262151</v>
      </c>
      <c r="E15">
        <v>2</v>
      </c>
      <c r="F15">
        <v>81</v>
      </c>
      <c r="G15">
        <v>4</v>
      </c>
      <c r="H15">
        <v>0.19400000000000001</v>
      </c>
      <c r="I15">
        <v>2.6869999999999998</v>
      </c>
      <c r="J15">
        <v>0.26300000000000001</v>
      </c>
      <c r="K15">
        <v>27.645</v>
      </c>
      <c r="L15">
        <v>18</v>
      </c>
      <c r="M15">
        <v>79</v>
      </c>
      <c r="N15">
        <v>3950</v>
      </c>
      <c r="O15">
        <v>2</v>
      </c>
      <c r="P15">
        <v>77</v>
      </c>
      <c r="Q15">
        <v>95.061999999999998</v>
      </c>
      <c r="R15">
        <v>1</v>
      </c>
      <c r="S15" t="b">
        <v>1</v>
      </c>
      <c r="T15">
        <v>2</v>
      </c>
      <c r="U15">
        <v>10.5</v>
      </c>
      <c r="V15">
        <v>8.5</v>
      </c>
      <c r="W15">
        <v>23.25</v>
      </c>
      <c r="X15">
        <v>1</v>
      </c>
      <c r="Y15">
        <v>1</v>
      </c>
    </row>
    <row r="16" spans="1:25">
      <c r="A16">
        <v>21</v>
      </c>
      <c r="B16" s="2">
        <v>45625.425405815971</v>
      </c>
      <c r="C16" s="2">
        <v>45593.379534505213</v>
      </c>
      <c r="D16" s="2">
        <v>45721.563019748261</v>
      </c>
      <c r="E16">
        <v>2</v>
      </c>
      <c r="F16">
        <v>34</v>
      </c>
      <c r="G16">
        <v>2</v>
      </c>
      <c r="H16">
        <v>0.25600000000000001</v>
      </c>
      <c r="I16">
        <v>2.8380000000000001</v>
      </c>
      <c r="J16">
        <v>0.38900000000000001</v>
      </c>
      <c r="K16">
        <v>11.603999999999999</v>
      </c>
      <c r="L16">
        <v>7.556</v>
      </c>
      <c r="M16">
        <v>32</v>
      </c>
      <c r="N16">
        <v>1600</v>
      </c>
      <c r="O16">
        <v>1</v>
      </c>
      <c r="P16">
        <v>32</v>
      </c>
      <c r="Q16">
        <v>94.117999999999995</v>
      </c>
      <c r="R16">
        <v>3</v>
      </c>
      <c r="S16" t="b">
        <v>1</v>
      </c>
      <c r="T16">
        <v>2</v>
      </c>
      <c r="U16">
        <v>10.5</v>
      </c>
      <c r="V16">
        <v>8.5</v>
      </c>
      <c r="W16">
        <v>23.25</v>
      </c>
      <c r="X16">
        <v>1</v>
      </c>
      <c r="Y16">
        <v>2</v>
      </c>
    </row>
    <row r="17" spans="1:25">
      <c r="A17">
        <v>25</v>
      </c>
      <c r="B17" s="2">
        <v>45433.150177951393</v>
      </c>
      <c r="C17" s="2">
        <v>45369.058435329862</v>
      </c>
      <c r="D17" s="2">
        <v>45465.196049262151</v>
      </c>
      <c r="E17">
        <v>2</v>
      </c>
      <c r="F17">
        <v>26</v>
      </c>
      <c r="G17">
        <v>7</v>
      </c>
      <c r="H17">
        <v>0.19400000000000001</v>
      </c>
      <c r="I17">
        <v>0.86199999999999999</v>
      </c>
      <c r="J17">
        <v>0.46100000000000002</v>
      </c>
      <c r="K17">
        <v>10.833</v>
      </c>
      <c r="L17">
        <v>4.3330000000000002</v>
      </c>
      <c r="M17">
        <v>24</v>
      </c>
      <c r="N17">
        <v>1200</v>
      </c>
      <c r="O17">
        <v>2</v>
      </c>
      <c r="P17">
        <v>19</v>
      </c>
      <c r="Q17">
        <v>73.076999999999998</v>
      </c>
      <c r="R17">
        <v>1</v>
      </c>
      <c r="S17" t="b">
        <v>1</v>
      </c>
      <c r="T17">
        <v>4.5</v>
      </c>
      <c r="U17">
        <v>10</v>
      </c>
      <c r="V17">
        <v>5.5</v>
      </c>
      <c r="W17">
        <v>18.25</v>
      </c>
      <c r="X17">
        <v>1</v>
      </c>
      <c r="Y17">
        <v>1</v>
      </c>
    </row>
    <row r="18" spans="1:25">
      <c r="A18">
        <v>25</v>
      </c>
      <c r="B18" s="2">
        <v>45689.517148437502</v>
      </c>
      <c r="C18" s="2">
        <v>45593.379534505213</v>
      </c>
      <c r="D18" s="2">
        <v>45721.563019748261</v>
      </c>
      <c r="E18">
        <v>5</v>
      </c>
      <c r="F18">
        <v>20</v>
      </c>
      <c r="G18">
        <v>3</v>
      </c>
      <c r="H18">
        <v>0.63900000000000001</v>
      </c>
      <c r="I18">
        <v>0.71599999999999997</v>
      </c>
      <c r="J18">
        <v>0.58399999999999996</v>
      </c>
      <c r="K18">
        <v>8.3330000000000002</v>
      </c>
      <c r="L18">
        <v>3.3330000000000002</v>
      </c>
      <c r="M18">
        <v>15</v>
      </c>
      <c r="N18">
        <v>300</v>
      </c>
      <c r="O18">
        <v>3</v>
      </c>
      <c r="P18">
        <v>17</v>
      </c>
      <c r="Q18">
        <v>85</v>
      </c>
      <c r="R18">
        <v>1</v>
      </c>
      <c r="S18" t="b">
        <v>1</v>
      </c>
      <c r="T18">
        <v>4.5</v>
      </c>
      <c r="U18">
        <v>10</v>
      </c>
      <c r="V18">
        <v>5.5</v>
      </c>
      <c r="W18">
        <v>18.25</v>
      </c>
      <c r="X18">
        <v>1</v>
      </c>
      <c r="Y18">
        <v>2</v>
      </c>
    </row>
    <row r="19" spans="1:25">
      <c r="A19">
        <v>26</v>
      </c>
      <c r="B19" s="2">
        <v>45208.829078776042</v>
      </c>
      <c r="C19" s="2">
        <v>45144.737336154511</v>
      </c>
      <c r="D19" s="2">
        <v>45240.874950086807</v>
      </c>
      <c r="E19">
        <v>5</v>
      </c>
      <c r="F19">
        <v>30</v>
      </c>
      <c r="G19">
        <v>6</v>
      </c>
      <c r="H19">
        <v>0.61099999999999999</v>
      </c>
      <c r="I19">
        <v>0.73899999999999999</v>
      </c>
      <c r="J19">
        <v>0.30499999999999999</v>
      </c>
      <c r="K19">
        <v>12.657999999999999</v>
      </c>
      <c r="L19">
        <v>5</v>
      </c>
      <c r="M19">
        <v>25</v>
      </c>
      <c r="N19">
        <v>500</v>
      </c>
      <c r="O19">
        <v>2</v>
      </c>
      <c r="P19">
        <v>24</v>
      </c>
      <c r="Q19">
        <v>80</v>
      </c>
      <c r="R19">
        <v>1</v>
      </c>
      <c r="S19" t="b">
        <v>1</v>
      </c>
      <c r="T19">
        <v>3</v>
      </c>
      <c r="U19">
        <v>10.5</v>
      </c>
      <c r="V19">
        <v>7.5</v>
      </c>
      <c r="W19">
        <v>21.75</v>
      </c>
      <c r="X19">
        <v>1</v>
      </c>
      <c r="Y19">
        <v>1</v>
      </c>
    </row>
    <row r="20" spans="1:25">
      <c r="A20">
        <v>28</v>
      </c>
      <c r="B20" s="2">
        <v>45208.829078776042</v>
      </c>
      <c r="C20" s="2">
        <v>45144.737336154511</v>
      </c>
      <c r="D20" s="2">
        <v>45240.874950086807</v>
      </c>
      <c r="E20">
        <v>2</v>
      </c>
      <c r="F20">
        <v>23</v>
      </c>
      <c r="G20">
        <v>4</v>
      </c>
      <c r="H20">
        <v>0.24399999999999999</v>
      </c>
      <c r="I20">
        <v>0.56699999999999995</v>
      </c>
      <c r="J20">
        <v>0.20300000000000001</v>
      </c>
      <c r="K20">
        <v>10.648</v>
      </c>
      <c r="L20">
        <v>4.1820000000000004</v>
      </c>
      <c r="M20">
        <v>21</v>
      </c>
      <c r="N20">
        <v>1050</v>
      </c>
      <c r="O20">
        <v>2</v>
      </c>
      <c r="P20">
        <v>19</v>
      </c>
      <c r="Q20">
        <v>82.608999999999995</v>
      </c>
      <c r="R20">
        <v>1</v>
      </c>
      <c r="S20" t="b">
        <v>1</v>
      </c>
      <c r="T20">
        <v>3</v>
      </c>
      <c r="U20">
        <v>9.75</v>
      </c>
      <c r="V20">
        <v>6.75</v>
      </c>
      <c r="W20">
        <v>19.875</v>
      </c>
      <c r="X20">
        <v>1</v>
      </c>
      <c r="Y20">
        <v>1</v>
      </c>
    </row>
    <row r="21" spans="1:25">
      <c r="A21">
        <v>28</v>
      </c>
      <c r="B21" s="2">
        <v>45689.517148437502</v>
      </c>
      <c r="C21" s="2">
        <v>45625.425405815971</v>
      </c>
      <c r="D21" s="2">
        <v>45753.608891059033</v>
      </c>
      <c r="E21">
        <v>2</v>
      </c>
      <c r="F21">
        <v>23</v>
      </c>
      <c r="G21">
        <v>3</v>
      </c>
      <c r="H21">
        <v>0.16700000000000001</v>
      </c>
      <c r="I21">
        <v>0.82399999999999995</v>
      </c>
      <c r="J21">
        <v>0.13700000000000001</v>
      </c>
      <c r="K21">
        <v>10.648</v>
      </c>
      <c r="L21">
        <v>4.1820000000000004</v>
      </c>
      <c r="M21">
        <v>21</v>
      </c>
      <c r="N21">
        <v>1050</v>
      </c>
      <c r="O21">
        <v>2</v>
      </c>
      <c r="P21">
        <v>20</v>
      </c>
      <c r="Q21">
        <v>86.956999999999994</v>
      </c>
      <c r="R21">
        <v>2</v>
      </c>
      <c r="S21" t="b">
        <v>1</v>
      </c>
      <c r="T21">
        <v>3</v>
      </c>
      <c r="U21">
        <v>9.75</v>
      </c>
      <c r="V21">
        <v>6.75</v>
      </c>
      <c r="W21">
        <v>19.875</v>
      </c>
      <c r="X21">
        <v>1</v>
      </c>
      <c r="Y21">
        <v>2</v>
      </c>
    </row>
    <row r="22" spans="1:25">
      <c r="A22">
        <v>30</v>
      </c>
      <c r="B22" s="2">
        <v>45240.874950086807</v>
      </c>
      <c r="C22" s="2">
        <v>45144.737336154511</v>
      </c>
      <c r="D22" s="2">
        <v>45272.920821397573</v>
      </c>
      <c r="E22">
        <v>3</v>
      </c>
      <c r="F22">
        <v>17</v>
      </c>
      <c r="G22">
        <v>8</v>
      </c>
      <c r="H22">
        <v>0.36699999999999999</v>
      </c>
      <c r="I22">
        <v>0.86499999999999999</v>
      </c>
      <c r="J22">
        <v>0.58699999999999997</v>
      </c>
      <c r="K22">
        <v>8.6289999999999996</v>
      </c>
      <c r="L22">
        <v>3.4</v>
      </c>
      <c r="M22">
        <v>14</v>
      </c>
      <c r="N22">
        <v>466.66699999999997</v>
      </c>
      <c r="O22">
        <v>3</v>
      </c>
      <c r="P22">
        <v>9</v>
      </c>
      <c r="Q22">
        <v>52.941000000000003</v>
      </c>
      <c r="R22">
        <v>1</v>
      </c>
      <c r="S22" t="b">
        <v>1</v>
      </c>
      <c r="T22">
        <v>4</v>
      </c>
      <c r="U22">
        <v>7</v>
      </c>
      <c r="V22">
        <v>3</v>
      </c>
      <c r="W22">
        <v>11.5</v>
      </c>
      <c r="X22">
        <v>2</v>
      </c>
      <c r="Y22">
        <v>1</v>
      </c>
    </row>
    <row r="23" spans="1:25">
      <c r="A23">
        <v>30</v>
      </c>
      <c r="B23" s="2">
        <v>45657.471277126737</v>
      </c>
      <c r="C23" s="2">
        <v>45593.379534505213</v>
      </c>
      <c r="D23" s="2">
        <v>45721.563019748261</v>
      </c>
      <c r="E23">
        <v>3</v>
      </c>
      <c r="F23">
        <v>17</v>
      </c>
      <c r="G23">
        <v>2</v>
      </c>
      <c r="H23">
        <v>0.38400000000000001</v>
      </c>
      <c r="I23">
        <v>0.46100000000000002</v>
      </c>
      <c r="J23">
        <v>0.38900000000000001</v>
      </c>
      <c r="K23">
        <v>8.6289999999999996</v>
      </c>
      <c r="L23">
        <v>3.4</v>
      </c>
      <c r="M23">
        <v>14</v>
      </c>
      <c r="N23">
        <v>466.66699999999997</v>
      </c>
      <c r="O23">
        <v>2</v>
      </c>
      <c r="P23">
        <v>15</v>
      </c>
      <c r="Q23">
        <v>88.234999999999999</v>
      </c>
      <c r="R23">
        <v>2</v>
      </c>
      <c r="S23" t="b">
        <v>1</v>
      </c>
      <c r="T23">
        <v>4</v>
      </c>
      <c r="U23">
        <v>7</v>
      </c>
      <c r="V23">
        <v>3</v>
      </c>
      <c r="W23">
        <v>11.5</v>
      </c>
      <c r="X23">
        <v>1</v>
      </c>
      <c r="Y23">
        <v>2</v>
      </c>
    </row>
    <row r="24" spans="1:25">
      <c r="A24">
        <v>30</v>
      </c>
      <c r="B24" s="2">
        <v>45337.012564019104</v>
      </c>
      <c r="C24" s="2">
        <v>45272.920821397573</v>
      </c>
      <c r="D24" s="2">
        <v>45369.058435329862</v>
      </c>
      <c r="E24">
        <v>8</v>
      </c>
      <c r="F24">
        <v>13</v>
      </c>
      <c r="G24">
        <v>5</v>
      </c>
      <c r="H24">
        <v>0.58699999999999997</v>
      </c>
      <c r="I24">
        <v>0.82399999999999995</v>
      </c>
      <c r="J24">
        <v>0.48399999999999999</v>
      </c>
      <c r="K24">
        <v>6.5990000000000002</v>
      </c>
      <c r="L24">
        <v>2.6</v>
      </c>
      <c r="M24">
        <v>5</v>
      </c>
      <c r="N24">
        <v>62.5</v>
      </c>
      <c r="O24">
        <v>2</v>
      </c>
      <c r="P24">
        <v>8</v>
      </c>
      <c r="Q24">
        <v>61.537999999999997</v>
      </c>
      <c r="R24">
        <v>1</v>
      </c>
      <c r="S24" t="b">
        <v>1</v>
      </c>
      <c r="T24">
        <v>4</v>
      </c>
      <c r="U24">
        <v>7</v>
      </c>
      <c r="V24">
        <v>3</v>
      </c>
      <c r="W24">
        <v>11.5</v>
      </c>
      <c r="X24">
        <v>1</v>
      </c>
      <c r="Y24">
        <v>3</v>
      </c>
    </row>
    <row r="25" spans="1:25">
      <c r="A25">
        <v>35</v>
      </c>
      <c r="B25" s="2">
        <v>45657.471277126737</v>
      </c>
      <c r="C25" s="2">
        <v>45561.333663194448</v>
      </c>
      <c r="D25" s="2">
        <v>45881.792376302081</v>
      </c>
      <c r="E25">
        <v>1</v>
      </c>
      <c r="F25">
        <v>90</v>
      </c>
      <c r="G25">
        <v>1</v>
      </c>
      <c r="H25">
        <v>8.7999999999999995E-2</v>
      </c>
      <c r="I25">
        <v>2.4409999999999998</v>
      </c>
      <c r="J25">
        <v>8.6999999999999994E-2</v>
      </c>
      <c r="K25">
        <v>54.545000000000002</v>
      </c>
      <c r="L25">
        <v>45</v>
      </c>
      <c r="M25">
        <v>89</v>
      </c>
      <c r="N25">
        <v>8900</v>
      </c>
      <c r="O25">
        <v>2</v>
      </c>
      <c r="P25">
        <v>89</v>
      </c>
      <c r="Q25">
        <v>98.888999999999996</v>
      </c>
      <c r="R25">
        <v>5</v>
      </c>
      <c r="S25" t="b">
        <v>1</v>
      </c>
      <c r="T25">
        <v>1</v>
      </c>
      <c r="U25">
        <v>4.25</v>
      </c>
      <c r="V25">
        <v>3.25</v>
      </c>
      <c r="W25">
        <v>9.125</v>
      </c>
      <c r="X25">
        <v>3</v>
      </c>
      <c r="Y25">
        <v>1</v>
      </c>
    </row>
    <row r="26" spans="1:25">
      <c r="A26">
        <v>38</v>
      </c>
      <c r="B26" s="2">
        <v>45433.150177951393</v>
      </c>
      <c r="C26" s="2">
        <v>45369.058435329862</v>
      </c>
      <c r="D26" s="2">
        <v>45465.196049262151</v>
      </c>
      <c r="E26">
        <v>2</v>
      </c>
      <c r="F26">
        <v>32</v>
      </c>
      <c r="G26">
        <v>3</v>
      </c>
      <c r="H26">
        <v>0.19400000000000001</v>
      </c>
      <c r="I26">
        <v>1.0609999999999999</v>
      </c>
      <c r="J26">
        <v>0.19700000000000001</v>
      </c>
      <c r="K26">
        <v>23.704000000000001</v>
      </c>
      <c r="L26">
        <v>16</v>
      </c>
      <c r="M26">
        <v>30</v>
      </c>
      <c r="N26">
        <v>1500</v>
      </c>
      <c r="O26">
        <v>1</v>
      </c>
      <c r="P26">
        <v>29</v>
      </c>
      <c r="Q26">
        <v>90.625</v>
      </c>
      <c r="R26">
        <v>1</v>
      </c>
      <c r="S26" t="b">
        <v>1</v>
      </c>
      <c r="T26">
        <v>2</v>
      </c>
      <c r="U26">
        <v>8</v>
      </c>
      <c r="V26">
        <v>6</v>
      </c>
      <c r="W26">
        <v>17</v>
      </c>
      <c r="X26">
        <v>1</v>
      </c>
      <c r="Y26">
        <v>1</v>
      </c>
    </row>
    <row r="27" spans="1:25">
      <c r="A27">
        <v>38</v>
      </c>
      <c r="B27" s="2">
        <v>45657.471277126737</v>
      </c>
      <c r="C27" s="2">
        <v>45625.425405815971</v>
      </c>
      <c r="D27" s="2">
        <v>45721.563019748261</v>
      </c>
      <c r="E27">
        <v>1</v>
      </c>
      <c r="F27">
        <v>19</v>
      </c>
      <c r="G27">
        <v>2</v>
      </c>
      <c r="H27">
        <v>8.3000000000000004E-2</v>
      </c>
      <c r="I27">
        <v>0.51500000000000001</v>
      </c>
      <c r="J27">
        <v>0.38900000000000001</v>
      </c>
      <c r="K27">
        <v>14.074</v>
      </c>
      <c r="L27">
        <v>9.5</v>
      </c>
      <c r="M27">
        <v>18</v>
      </c>
      <c r="N27">
        <v>1800</v>
      </c>
      <c r="O27">
        <v>1</v>
      </c>
      <c r="P27">
        <v>17</v>
      </c>
      <c r="Q27">
        <v>89.474000000000004</v>
      </c>
      <c r="R27">
        <v>2</v>
      </c>
      <c r="S27" t="b">
        <v>1</v>
      </c>
      <c r="T27">
        <v>2</v>
      </c>
      <c r="U27">
        <v>8</v>
      </c>
      <c r="V27">
        <v>6</v>
      </c>
      <c r="W27">
        <v>17</v>
      </c>
      <c r="X27">
        <v>1</v>
      </c>
      <c r="Y27">
        <v>2</v>
      </c>
    </row>
    <row r="28" spans="1:25">
      <c r="A28">
        <v>40</v>
      </c>
      <c r="B28" s="2">
        <v>45304.966692708331</v>
      </c>
      <c r="C28" s="2">
        <v>45240.874950086807</v>
      </c>
      <c r="D28" s="2">
        <v>45369.058435329862</v>
      </c>
      <c r="E28">
        <v>3</v>
      </c>
      <c r="F28">
        <v>10</v>
      </c>
      <c r="G28">
        <v>1</v>
      </c>
      <c r="H28">
        <v>0.153</v>
      </c>
      <c r="I28">
        <v>0.38300000000000001</v>
      </c>
      <c r="J28">
        <v>9.7000000000000003E-2</v>
      </c>
      <c r="K28">
        <v>7.7519999999999998</v>
      </c>
      <c r="L28">
        <v>2.5</v>
      </c>
      <c r="M28">
        <v>7</v>
      </c>
      <c r="N28">
        <v>233.333</v>
      </c>
      <c r="O28">
        <v>2</v>
      </c>
      <c r="P28">
        <v>9</v>
      </c>
      <c r="Q28">
        <v>90</v>
      </c>
      <c r="R28">
        <v>2</v>
      </c>
      <c r="S28" t="b">
        <v>1</v>
      </c>
      <c r="T28">
        <v>2</v>
      </c>
      <c r="U28">
        <v>5</v>
      </c>
      <c r="V28">
        <v>3</v>
      </c>
      <c r="W28">
        <v>9.5</v>
      </c>
      <c r="X28">
        <v>1</v>
      </c>
      <c r="Y28">
        <v>1</v>
      </c>
    </row>
    <row r="29" spans="1:25">
      <c r="A29">
        <v>40</v>
      </c>
      <c r="B29" s="2">
        <v>45433.150177951393</v>
      </c>
      <c r="C29" s="2">
        <v>45369.058435329862</v>
      </c>
      <c r="D29" s="2">
        <v>45529.287791883682</v>
      </c>
      <c r="E29">
        <v>1</v>
      </c>
      <c r="F29">
        <v>10</v>
      </c>
      <c r="G29">
        <v>1</v>
      </c>
      <c r="H29">
        <v>9.7000000000000003E-2</v>
      </c>
      <c r="I29">
        <v>0.33200000000000002</v>
      </c>
      <c r="J29">
        <v>9.0999999999999998E-2</v>
      </c>
      <c r="K29">
        <v>7.7519999999999998</v>
      </c>
      <c r="L29">
        <v>2.5</v>
      </c>
      <c r="M29">
        <v>9</v>
      </c>
      <c r="N29">
        <v>900</v>
      </c>
      <c r="O29">
        <v>2</v>
      </c>
      <c r="P29">
        <v>9</v>
      </c>
      <c r="Q29">
        <v>90</v>
      </c>
      <c r="R29">
        <v>3</v>
      </c>
      <c r="S29" t="b">
        <v>1</v>
      </c>
      <c r="T29">
        <v>2</v>
      </c>
      <c r="U29">
        <v>5</v>
      </c>
      <c r="V29">
        <v>3</v>
      </c>
      <c r="W29">
        <v>9.5</v>
      </c>
      <c r="X29">
        <v>1</v>
      </c>
      <c r="Y29">
        <v>2</v>
      </c>
    </row>
    <row r="30" spans="1:25">
      <c r="A30">
        <v>40</v>
      </c>
      <c r="B30" s="2">
        <v>45657.471277126737</v>
      </c>
      <c r="C30" s="2">
        <v>45625.425405815971</v>
      </c>
      <c r="D30" s="2">
        <v>45689.517148437502</v>
      </c>
      <c r="E30">
        <v>2</v>
      </c>
      <c r="F30">
        <v>10</v>
      </c>
      <c r="G30">
        <v>3</v>
      </c>
      <c r="H30">
        <v>0.16700000000000001</v>
      </c>
      <c r="I30">
        <v>0.27100000000000002</v>
      </c>
      <c r="J30">
        <v>0.107</v>
      </c>
      <c r="K30">
        <v>7.7519999999999998</v>
      </c>
      <c r="L30">
        <v>2.5</v>
      </c>
      <c r="M30">
        <v>8</v>
      </c>
      <c r="N30">
        <v>400</v>
      </c>
      <c r="O30">
        <v>1</v>
      </c>
      <c r="P30">
        <v>7</v>
      </c>
      <c r="Q30">
        <v>70</v>
      </c>
      <c r="R30">
        <v>1</v>
      </c>
      <c r="S30" t="b">
        <v>1</v>
      </c>
      <c r="T30">
        <v>2</v>
      </c>
      <c r="U30">
        <v>5</v>
      </c>
      <c r="V30">
        <v>3</v>
      </c>
      <c r="W30">
        <v>9.5</v>
      </c>
      <c r="X30">
        <v>1</v>
      </c>
      <c r="Y30">
        <v>3</v>
      </c>
    </row>
    <row r="31" spans="1:25">
      <c r="A31">
        <v>41</v>
      </c>
      <c r="B31" s="2">
        <v>45433.150177951393</v>
      </c>
      <c r="C31" s="2">
        <v>45369.058435329862</v>
      </c>
      <c r="D31" s="2">
        <v>45497.241920572917</v>
      </c>
      <c r="E31">
        <v>3</v>
      </c>
      <c r="F31">
        <v>24</v>
      </c>
      <c r="G31">
        <v>2</v>
      </c>
      <c r="H31">
        <v>0.29099999999999998</v>
      </c>
      <c r="I31">
        <v>0.79600000000000004</v>
      </c>
      <c r="J31">
        <v>0.14299999999999999</v>
      </c>
      <c r="K31">
        <v>19.2</v>
      </c>
      <c r="L31">
        <v>6</v>
      </c>
      <c r="M31">
        <v>21</v>
      </c>
      <c r="N31">
        <v>700</v>
      </c>
      <c r="O31">
        <v>2</v>
      </c>
      <c r="P31">
        <v>22</v>
      </c>
      <c r="Q31">
        <v>91.667000000000002</v>
      </c>
      <c r="R31">
        <v>2</v>
      </c>
      <c r="S31" t="b">
        <v>1</v>
      </c>
      <c r="T31">
        <v>1.75</v>
      </c>
      <c r="U31">
        <v>7</v>
      </c>
      <c r="V31">
        <v>5.25</v>
      </c>
      <c r="W31">
        <v>14.875</v>
      </c>
      <c r="X31">
        <v>1</v>
      </c>
      <c r="Y31">
        <v>1</v>
      </c>
    </row>
    <row r="32" spans="1:25">
      <c r="A32">
        <v>41</v>
      </c>
      <c r="B32" s="2">
        <v>45753.608891059033</v>
      </c>
      <c r="C32" s="2">
        <v>45657.471277126737</v>
      </c>
      <c r="D32" s="2">
        <v>45849.746504991323</v>
      </c>
      <c r="E32">
        <v>4</v>
      </c>
      <c r="F32">
        <v>15</v>
      </c>
      <c r="G32">
        <v>1</v>
      </c>
      <c r="H32">
        <v>0.108</v>
      </c>
      <c r="I32">
        <v>0.68300000000000005</v>
      </c>
      <c r="J32">
        <v>0.114</v>
      </c>
      <c r="K32">
        <v>12</v>
      </c>
      <c r="L32">
        <v>3.75</v>
      </c>
      <c r="M32">
        <v>11</v>
      </c>
      <c r="N32">
        <v>275</v>
      </c>
      <c r="O32">
        <v>2</v>
      </c>
      <c r="P32">
        <v>14</v>
      </c>
      <c r="Q32">
        <v>93.332999999999998</v>
      </c>
      <c r="R32">
        <v>2</v>
      </c>
      <c r="S32" t="b">
        <v>1</v>
      </c>
      <c r="T32">
        <v>1.75</v>
      </c>
      <c r="U32">
        <v>7</v>
      </c>
      <c r="V32">
        <v>5.25</v>
      </c>
      <c r="W32">
        <v>14.875</v>
      </c>
      <c r="X32">
        <v>1</v>
      </c>
      <c r="Y32">
        <v>2</v>
      </c>
    </row>
    <row r="33" spans="1:25">
      <c r="A33">
        <v>42</v>
      </c>
      <c r="B33" s="2">
        <v>45753.608891059033</v>
      </c>
      <c r="C33" s="2">
        <v>45625.425405815971</v>
      </c>
      <c r="D33" s="2">
        <v>45785.654762369792</v>
      </c>
      <c r="E33">
        <v>2</v>
      </c>
      <c r="F33">
        <v>18</v>
      </c>
      <c r="G33">
        <v>2</v>
      </c>
      <c r="H33">
        <v>0.16700000000000001</v>
      </c>
      <c r="I33">
        <v>0.82</v>
      </c>
      <c r="J33">
        <v>0.156</v>
      </c>
      <c r="K33">
        <v>15.516999999999999</v>
      </c>
      <c r="L33">
        <v>4</v>
      </c>
      <c r="M33">
        <v>16</v>
      </c>
      <c r="N33">
        <v>800</v>
      </c>
      <c r="O33">
        <v>3</v>
      </c>
      <c r="P33">
        <v>16</v>
      </c>
      <c r="Q33">
        <v>88.888999999999996</v>
      </c>
      <c r="R33">
        <v>1</v>
      </c>
      <c r="S33" t="b">
        <v>1</v>
      </c>
      <c r="T33">
        <v>2</v>
      </c>
      <c r="U33">
        <v>5.25</v>
      </c>
      <c r="V33">
        <v>3.25</v>
      </c>
      <c r="W33">
        <v>10.125</v>
      </c>
      <c r="X33">
        <v>2</v>
      </c>
      <c r="Y33">
        <v>1</v>
      </c>
    </row>
    <row r="34" spans="1:25">
      <c r="A34">
        <v>42</v>
      </c>
      <c r="B34" s="2">
        <v>45561.333663194448</v>
      </c>
      <c r="C34" s="2">
        <v>45529.287791883682</v>
      </c>
      <c r="D34" s="2">
        <v>45593.379534505213</v>
      </c>
      <c r="E34">
        <v>2</v>
      </c>
      <c r="F34">
        <v>12</v>
      </c>
      <c r="G34">
        <v>2</v>
      </c>
      <c r="H34">
        <v>0.183</v>
      </c>
      <c r="I34">
        <v>1.052</v>
      </c>
      <c r="J34">
        <v>0.25600000000000001</v>
      </c>
      <c r="K34">
        <v>10.345000000000001</v>
      </c>
      <c r="L34">
        <v>2.6669999999999998</v>
      </c>
      <c r="M34">
        <v>10</v>
      </c>
      <c r="N34">
        <v>500</v>
      </c>
      <c r="O34">
        <v>1</v>
      </c>
      <c r="P34">
        <v>10</v>
      </c>
      <c r="Q34">
        <v>83.332999999999998</v>
      </c>
      <c r="R34">
        <v>1</v>
      </c>
      <c r="S34" t="b">
        <v>1</v>
      </c>
      <c r="T34">
        <v>2</v>
      </c>
      <c r="U34">
        <v>5.25</v>
      </c>
      <c r="V34">
        <v>3.25</v>
      </c>
      <c r="W34">
        <v>10.125</v>
      </c>
      <c r="X34">
        <v>1</v>
      </c>
      <c r="Y34">
        <v>2</v>
      </c>
    </row>
    <row r="35" spans="1:25">
      <c r="A35">
        <v>44</v>
      </c>
      <c r="B35" s="2">
        <v>45433.150177951393</v>
      </c>
      <c r="C35" s="2">
        <v>45272.920821397573</v>
      </c>
      <c r="D35" s="2">
        <v>45561.333663194448</v>
      </c>
      <c r="E35">
        <v>1</v>
      </c>
      <c r="F35">
        <v>25</v>
      </c>
      <c r="G35">
        <v>1</v>
      </c>
      <c r="H35">
        <v>7.2999999999999995E-2</v>
      </c>
      <c r="I35">
        <v>0.82899999999999996</v>
      </c>
      <c r="J35">
        <v>8.7999999999999995E-2</v>
      </c>
      <c r="K35">
        <v>22.321000000000002</v>
      </c>
      <c r="L35">
        <v>8.3330000000000002</v>
      </c>
      <c r="M35">
        <v>24</v>
      </c>
      <c r="N35">
        <v>2400</v>
      </c>
      <c r="O35">
        <v>4</v>
      </c>
      <c r="P35">
        <v>24</v>
      </c>
      <c r="Q35">
        <v>96</v>
      </c>
      <c r="R35">
        <v>3</v>
      </c>
      <c r="S35" t="b">
        <v>1</v>
      </c>
      <c r="T35">
        <v>2</v>
      </c>
      <c r="U35">
        <v>4.5</v>
      </c>
      <c r="V35">
        <v>2.5</v>
      </c>
      <c r="W35">
        <v>8.25</v>
      </c>
      <c r="X35">
        <v>1</v>
      </c>
      <c r="Y35">
        <v>1</v>
      </c>
    </row>
    <row r="36" spans="1:25">
      <c r="A36">
        <v>44</v>
      </c>
      <c r="B36" s="2">
        <v>45657.471277126737</v>
      </c>
      <c r="C36" s="2">
        <v>45625.425405815971</v>
      </c>
      <c r="D36" s="2">
        <v>45817.700633680557</v>
      </c>
      <c r="E36">
        <v>4</v>
      </c>
      <c r="F36">
        <v>12</v>
      </c>
      <c r="G36">
        <v>1</v>
      </c>
      <c r="H36">
        <v>0.33400000000000002</v>
      </c>
      <c r="I36">
        <v>0.32500000000000001</v>
      </c>
      <c r="J36">
        <v>0.14499999999999999</v>
      </c>
      <c r="K36">
        <v>10.714</v>
      </c>
      <c r="L36">
        <v>4</v>
      </c>
      <c r="M36">
        <v>8</v>
      </c>
      <c r="N36">
        <v>200</v>
      </c>
      <c r="O36">
        <v>1</v>
      </c>
      <c r="P36">
        <v>11</v>
      </c>
      <c r="Q36">
        <v>91.667000000000002</v>
      </c>
      <c r="R36">
        <v>3</v>
      </c>
      <c r="S36" t="b">
        <v>1</v>
      </c>
      <c r="T36">
        <v>2</v>
      </c>
      <c r="U36">
        <v>4.5</v>
      </c>
      <c r="V36">
        <v>2.5</v>
      </c>
      <c r="W36">
        <v>8.25</v>
      </c>
      <c r="X36">
        <v>1</v>
      </c>
      <c r="Y36">
        <v>2</v>
      </c>
    </row>
    <row r="37" spans="1:25">
      <c r="A37">
        <v>44</v>
      </c>
      <c r="B37" s="2">
        <v>45240.874950086807</v>
      </c>
      <c r="C37" s="2">
        <v>45144.737336154511</v>
      </c>
      <c r="D37" s="2">
        <v>45272.920821397573</v>
      </c>
      <c r="E37">
        <v>1</v>
      </c>
      <c r="F37">
        <v>10</v>
      </c>
      <c r="G37">
        <v>1</v>
      </c>
      <c r="H37">
        <v>0.122</v>
      </c>
      <c r="I37">
        <v>0.50900000000000001</v>
      </c>
      <c r="J37">
        <v>7.2999999999999995E-2</v>
      </c>
      <c r="K37">
        <v>8.9290000000000003</v>
      </c>
      <c r="L37">
        <v>3.3330000000000002</v>
      </c>
      <c r="M37">
        <v>9</v>
      </c>
      <c r="N37">
        <v>900</v>
      </c>
      <c r="O37">
        <v>3</v>
      </c>
      <c r="P37">
        <v>9</v>
      </c>
      <c r="Q37">
        <v>90</v>
      </c>
      <c r="R37">
        <v>1</v>
      </c>
      <c r="S37" t="b">
        <v>1</v>
      </c>
      <c r="T37">
        <v>2</v>
      </c>
      <c r="U37">
        <v>4.5</v>
      </c>
      <c r="V37">
        <v>2.5</v>
      </c>
      <c r="W37">
        <v>8.25</v>
      </c>
      <c r="X37">
        <v>1</v>
      </c>
      <c r="Y37">
        <v>3</v>
      </c>
    </row>
    <row r="38" spans="1:25">
      <c r="A38">
        <v>45</v>
      </c>
      <c r="B38" s="2">
        <v>45657.471277126737</v>
      </c>
      <c r="C38" s="2">
        <v>45625.425405815971</v>
      </c>
      <c r="D38" s="2">
        <v>45753.608891059033</v>
      </c>
      <c r="E38">
        <v>1</v>
      </c>
      <c r="F38">
        <v>21</v>
      </c>
      <c r="G38">
        <v>3</v>
      </c>
      <c r="H38">
        <v>8.3000000000000004E-2</v>
      </c>
      <c r="I38">
        <v>0.56999999999999995</v>
      </c>
      <c r="J38">
        <v>0.13700000000000001</v>
      </c>
      <c r="K38">
        <v>19.091000000000001</v>
      </c>
      <c r="L38">
        <v>7</v>
      </c>
      <c r="M38">
        <v>20</v>
      </c>
      <c r="N38">
        <v>2000</v>
      </c>
      <c r="O38">
        <v>1</v>
      </c>
      <c r="P38">
        <v>18</v>
      </c>
      <c r="Q38">
        <v>85.713999999999999</v>
      </c>
      <c r="R38">
        <v>2</v>
      </c>
      <c r="S38" t="b">
        <v>1</v>
      </c>
      <c r="T38">
        <v>2.25</v>
      </c>
      <c r="U38">
        <v>4.75</v>
      </c>
      <c r="V38">
        <v>2.5</v>
      </c>
      <c r="W38">
        <v>8.5</v>
      </c>
      <c r="X38">
        <v>2</v>
      </c>
      <c r="Y38">
        <v>1</v>
      </c>
    </row>
    <row r="39" spans="1:25">
      <c r="A39">
        <v>45</v>
      </c>
      <c r="B39" s="2">
        <v>45785.654762369792</v>
      </c>
      <c r="C39" s="2">
        <v>45753.608891059033</v>
      </c>
      <c r="D39" s="2">
        <v>45817.700633680557</v>
      </c>
      <c r="E39">
        <v>3</v>
      </c>
      <c r="F39">
        <v>14</v>
      </c>
      <c r="G39">
        <v>3</v>
      </c>
      <c r="H39">
        <v>0.13700000000000001</v>
      </c>
      <c r="I39">
        <v>1.095</v>
      </c>
      <c r="J39">
        <v>0.435</v>
      </c>
      <c r="K39">
        <v>12.727</v>
      </c>
      <c r="L39">
        <v>4.6669999999999998</v>
      </c>
      <c r="M39">
        <v>11</v>
      </c>
      <c r="N39">
        <v>366.66699999999997</v>
      </c>
      <c r="O39">
        <v>1</v>
      </c>
      <c r="P39">
        <v>11</v>
      </c>
      <c r="Q39">
        <v>78.570999999999998</v>
      </c>
      <c r="R39">
        <v>1</v>
      </c>
      <c r="S39" t="b">
        <v>1</v>
      </c>
      <c r="T39">
        <v>2.25</v>
      </c>
      <c r="U39">
        <v>4.75</v>
      </c>
      <c r="V39">
        <v>2.5</v>
      </c>
      <c r="W39">
        <v>8.5</v>
      </c>
      <c r="X39">
        <v>1</v>
      </c>
      <c r="Y39">
        <v>2</v>
      </c>
    </row>
    <row r="40" spans="1:25">
      <c r="A40">
        <v>46</v>
      </c>
      <c r="B40" s="2">
        <v>45176.783207465283</v>
      </c>
      <c r="C40" s="2">
        <v>45144.737336154511</v>
      </c>
      <c r="D40" s="2">
        <v>45337.012564019104</v>
      </c>
      <c r="E40">
        <v>2</v>
      </c>
      <c r="F40">
        <v>17</v>
      </c>
      <c r="G40">
        <v>2</v>
      </c>
      <c r="H40">
        <v>0.24399999999999999</v>
      </c>
      <c r="I40">
        <v>1.163</v>
      </c>
      <c r="J40">
        <v>0.127</v>
      </c>
      <c r="K40">
        <v>15.455</v>
      </c>
      <c r="L40">
        <v>6.8</v>
      </c>
      <c r="M40">
        <v>15</v>
      </c>
      <c r="N40">
        <v>750</v>
      </c>
      <c r="O40">
        <v>1</v>
      </c>
      <c r="P40">
        <v>15</v>
      </c>
      <c r="Q40">
        <v>88.234999999999999</v>
      </c>
      <c r="R40">
        <v>3</v>
      </c>
      <c r="S40" t="b">
        <v>1</v>
      </c>
      <c r="T40">
        <v>2</v>
      </c>
      <c r="U40">
        <v>4</v>
      </c>
      <c r="V40">
        <v>2</v>
      </c>
      <c r="W40">
        <v>7</v>
      </c>
      <c r="X40">
        <v>2</v>
      </c>
      <c r="Y40">
        <v>1</v>
      </c>
    </row>
    <row r="41" spans="1:25">
      <c r="A41">
        <v>49</v>
      </c>
      <c r="B41" s="2">
        <v>45208.829078776042</v>
      </c>
      <c r="C41" s="2">
        <v>45144.737336154511</v>
      </c>
      <c r="D41" s="2">
        <v>45272.920821397573</v>
      </c>
      <c r="E41">
        <v>1</v>
      </c>
      <c r="F41">
        <v>10</v>
      </c>
      <c r="G41">
        <v>3</v>
      </c>
      <c r="H41">
        <v>0.122</v>
      </c>
      <c r="I41">
        <v>0.246</v>
      </c>
      <c r="J41">
        <v>0.22</v>
      </c>
      <c r="K41">
        <v>10</v>
      </c>
      <c r="L41">
        <v>3.3330000000000002</v>
      </c>
      <c r="M41">
        <v>9</v>
      </c>
      <c r="N41">
        <v>900</v>
      </c>
      <c r="O41">
        <v>2</v>
      </c>
      <c r="P41">
        <v>7</v>
      </c>
      <c r="Q41">
        <v>70</v>
      </c>
      <c r="R41">
        <v>2</v>
      </c>
      <c r="S41" t="b">
        <v>1</v>
      </c>
      <c r="T41">
        <v>2</v>
      </c>
      <c r="U41">
        <v>5</v>
      </c>
      <c r="V41">
        <v>3</v>
      </c>
      <c r="W41">
        <v>9.5</v>
      </c>
      <c r="X41">
        <v>1</v>
      </c>
      <c r="Y41">
        <v>1</v>
      </c>
    </row>
    <row r="42" spans="1:25">
      <c r="A42">
        <v>51</v>
      </c>
      <c r="B42" s="2">
        <v>45433.150177951393</v>
      </c>
      <c r="C42" s="2">
        <v>45369.058435329862</v>
      </c>
      <c r="D42" s="2">
        <v>45465.196049262151</v>
      </c>
      <c r="E42">
        <v>1</v>
      </c>
      <c r="F42">
        <v>12</v>
      </c>
      <c r="G42">
        <v>1</v>
      </c>
      <c r="H42">
        <v>9.7000000000000003E-2</v>
      </c>
      <c r="I42">
        <v>0.39800000000000002</v>
      </c>
      <c r="J42">
        <v>6.6000000000000003E-2</v>
      </c>
      <c r="K42">
        <v>12.244999999999999</v>
      </c>
      <c r="L42">
        <v>4</v>
      </c>
      <c r="M42">
        <v>11</v>
      </c>
      <c r="N42">
        <v>1100</v>
      </c>
      <c r="O42">
        <v>2</v>
      </c>
      <c r="P42">
        <v>11</v>
      </c>
      <c r="Q42">
        <v>91.667000000000002</v>
      </c>
      <c r="R42">
        <v>1</v>
      </c>
      <c r="S42" t="b">
        <v>1</v>
      </c>
      <c r="T42">
        <v>2</v>
      </c>
      <c r="U42">
        <v>4.5</v>
      </c>
      <c r="V42">
        <v>2.5</v>
      </c>
      <c r="W42">
        <v>8.25</v>
      </c>
      <c r="X42">
        <v>1</v>
      </c>
      <c r="Y42">
        <v>1</v>
      </c>
    </row>
    <row r="43" spans="1:25">
      <c r="A43">
        <v>51</v>
      </c>
      <c r="B43" s="2">
        <v>45112.691464843752</v>
      </c>
      <c r="C43" s="2">
        <v>45047.574254340281</v>
      </c>
      <c r="D43" s="2">
        <v>45144.737336154511</v>
      </c>
      <c r="E43">
        <v>3</v>
      </c>
      <c r="F43">
        <v>10</v>
      </c>
      <c r="G43">
        <v>2</v>
      </c>
      <c r="H43">
        <v>0.49099999999999999</v>
      </c>
      <c r="I43">
        <v>0.89900000000000002</v>
      </c>
      <c r="J43">
        <v>0.24399999999999999</v>
      </c>
      <c r="K43">
        <v>10.204000000000001</v>
      </c>
      <c r="L43">
        <v>3.3330000000000002</v>
      </c>
      <c r="M43">
        <v>7</v>
      </c>
      <c r="N43">
        <v>233.333</v>
      </c>
      <c r="O43">
        <v>2</v>
      </c>
      <c r="P43">
        <v>8</v>
      </c>
      <c r="Q43">
        <v>80</v>
      </c>
      <c r="R43">
        <v>1</v>
      </c>
      <c r="S43" t="b">
        <v>1</v>
      </c>
      <c r="T43">
        <v>2</v>
      </c>
      <c r="U43">
        <v>4.5</v>
      </c>
      <c r="V43">
        <v>2.5</v>
      </c>
      <c r="W43">
        <v>8.25</v>
      </c>
      <c r="X43">
        <v>1</v>
      </c>
      <c r="Y43">
        <v>2</v>
      </c>
    </row>
    <row r="44" spans="1:25">
      <c r="A44">
        <v>52</v>
      </c>
      <c r="B44" s="2">
        <v>45208.829078776042</v>
      </c>
      <c r="C44" s="2">
        <v>45112.691464843752</v>
      </c>
      <c r="D44" s="2">
        <v>45272.920821397573</v>
      </c>
      <c r="E44">
        <v>2</v>
      </c>
      <c r="F44">
        <v>11</v>
      </c>
      <c r="G44">
        <v>2</v>
      </c>
      <c r="H44">
        <v>0.18</v>
      </c>
      <c r="I44">
        <v>0.27100000000000002</v>
      </c>
      <c r="J44">
        <v>0.14699999999999999</v>
      </c>
      <c r="K44">
        <v>11.957000000000001</v>
      </c>
      <c r="L44">
        <v>3.6669999999999998</v>
      </c>
      <c r="M44">
        <v>9</v>
      </c>
      <c r="N44">
        <v>450</v>
      </c>
      <c r="O44">
        <v>3</v>
      </c>
      <c r="P44">
        <v>9</v>
      </c>
      <c r="Q44">
        <v>81.817999999999998</v>
      </c>
      <c r="R44">
        <v>2</v>
      </c>
      <c r="S44" t="b">
        <v>1</v>
      </c>
      <c r="T44">
        <v>2</v>
      </c>
      <c r="U44">
        <v>5</v>
      </c>
      <c r="V44">
        <v>3</v>
      </c>
      <c r="W44">
        <v>9.5</v>
      </c>
      <c r="X44">
        <v>1</v>
      </c>
      <c r="Y44">
        <v>1</v>
      </c>
    </row>
    <row r="45" spans="1:25">
      <c r="A45">
        <v>55</v>
      </c>
      <c r="B45" s="2">
        <v>45433.150177951393</v>
      </c>
      <c r="C45" s="2">
        <v>45272.920821397573</v>
      </c>
      <c r="D45" s="2">
        <v>45465.196049262151</v>
      </c>
      <c r="E45">
        <v>3</v>
      </c>
      <c r="F45">
        <v>16</v>
      </c>
      <c r="G45">
        <v>2</v>
      </c>
      <c r="H45">
        <v>0.22</v>
      </c>
      <c r="I45">
        <v>0.53100000000000003</v>
      </c>
      <c r="J45">
        <v>0.13200000000000001</v>
      </c>
      <c r="K45">
        <v>18.181999999999999</v>
      </c>
      <c r="L45">
        <v>8</v>
      </c>
      <c r="M45">
        <v>13</v>
      </c>
      <c r="N45">
        <v>433.33300000000003</v>
      </c>
      <c r="O45">
        <v>3</v>
      </c>
      <c r="P45">
        <v>14</v>
      </c>
      <c r="Q45">
        <v>87.5</v>
      </c>
      <c r="R45">
        <v>1</v>
      </c>
      <c r="S45" t="b">
        <v>1</v>
      </c>
      <c r="T45">
        <v>1</v>
      </c>
      <c r="U45">
        <v>4</v>
      </c>
      <c r="V45">
        <v>3</v>
      </c>
      <c r="W45">
        <v>8.5</v>
      </c>
      <c r="X45">
        <v>1</v>
      </c>
      <c r="Y45">
        <v>1</v>
      </c>
    </row>
    <row r="46" spans="1:25">
      <c r="A46">
        <v>55</v>
      </c>
      <c r="B46" s="2">
        <v>45208.829078776042</v>
      </c>
      <c r="C46" s="2">
        <v>45176.783207465283</v>
      </c>
      <c r="D46" s="2">
        <v>45272.920821397573</v>
      </c>
      <c r="E46">
        <v>2</v>
      </c>
      <c r="F46">
        <v>13</v>
      </c>
      <c r="G46">
        <v>3</v>
      </c>
      <c r="H46">
        <v>0.13700000000000001</v>
      </c>
      <c r="I46">
        <v>0.32</v>
      </c>
      <c r="J46">
        <v>0.22</v>
      </c>
      <c r="K46">
        <v>14.773</v>
      </c>
      <c r="L46">
        <v>6.5</v>
      </c>
      <c r="M46">
        <v>11</v>
      </c>
      <c r="N46">
        <v>550</v>
      </c>
      <c r="O46">
        <v>1</v>
      </c>
      <c r="P46">
        <v>10</v>
      </c>
      <c r="Q46">
        <v>76.923000000000002</v>
      </c>
      <c r="R46">
        <v>2</v>
      </c>
      <c r="S46" t="b">
        <v>1</v>
      </c>
      <c r="T46">
        <v>1</v>
      </c>
      <c r="U46">
        <v>4</v>
      </c>
      <c r="V46">
        <v>3</v>
      </c>
      <c r="W46">
        <v>8.5</v>
      </c>
      <c r="X46">
        <v>1</v>
      </c>
      <c r="Y46">
        <v>2</v>
      </c>
    </row>
    <row r="47" spans="1:25">
      <c r="A47">
        <v>60</v>
      </c>
      <c r="B47" s="2">
        <v>45208.829078776042</v>
      </c>
      <c r="C47" s="2">
        <v>45112.691464843752</v>
      </c>
      <c r="D47" s="2">
        <v>45369.058435329862</v>
      </c>
      <c r="E47">
        <v>1</v>
      </c>
      <c r="F47">
        <v>13</v>
      </c>
      <c r="G47">
        <v>1</v>
      </c>
      <c r="H47">
        <v>0.09</v>
      </c>
      <c r="I47">
        <v>0.32</v>
      </c>
      <c r="J47">
        <v>9.7000000000000003E-2</v>
      </c>
      <c r="K47">
        <v>22.414000000000001</v>
      </c>
      <c r="L47">
        <v>6.5</v>
      </c>
      <c r="M47">
        <v>12</v>
      </c>
      <c r="N47">
        <v>1200</v>
      </c>
      <c r="O47">
        <v>1</v>
      </c>
      <c r="P47">
        <v>12</v>
      </c>
      <c r="Q47">
        <v>92.308000000000007</v>
      </c>
      <c r="R47">
        <v>4</v>
      </c>
      <c r="S47" t="b">
        <v>1</v>
      </c>
      <c r="T47">
        <v>1</v>
      </c>
      <c r="U47">
        <v>3.25</v>
      </c>
      <c r="V47">
        <v>2.25</v>
      </c>
      <c r="W47">
        <v>6.625</v>
      </c>
      <c r="X47">
        <v>1</v>
      </c>
      <c r="Y47">
        <v>1</v>
      </c>
    </row>
    <row r="48" spans="1:25">
      <c r="A48">
        <v>60</v>
      </c>
      <c r="B48" s="2">
        <v>45401.104306640627</v>
      </c>
      <c r="C48" s="2">
        <v>45369.058435329862</v>
      </c>
      <c r="D48" s="2">
        <v>45433.150177951393</v>
      </c>
      <c r="E48">
        <v>1</v>
      </c>
      <c r="F48">
        <v>7</v>
      </c>
      <c r="G48">
        <v>2</v>
      </c>
      <c r="H48">
        <v>9.7000000000000003E-2</v>
      </c>
      <c r="I48">
        <v>0.36399999999999999</v>
      </c>
      <c r="J48">
        <v>6.6000000000000003E-2</v>
      </c>
      <c r="K48">
        <v>12.069000000000001</v>
      </c>
      <c r="L48">
        <v>3.5</v>
      </c>
      <c r="M48">
        <v>6</v>
      </c>
      <c r="N48">
        <v>600</v>
      </c>
      <c r="O48">
        <v>1</v>
      </c>
      <c r="P48">
        <v>5</v>
      </c>
      <c r="Q48">
        <v>71.429000000000002</v>
      </c>
      <c r="R48">
        <v>1</v>
      </c>
      <c r="S48" t="b">
        <v>1</v>
      </c>
      <c r="T48">
        <v>1</v>
      </c>
      <c r="U48">
        <v>3.25</v>
      </c>
      <c r="V48">
        <v>2.25</v>
      </c>
      <c r="W48">
        <v>6.625</v>
      </c>
      <c r="X48">
        <v>1</v>
      </c>
      <c r="Y48">
        <v>2</v>
      </c>
    </row>
    <row r="49" spans="1:25">
      <c r="A49">
        <v>65</v>
      </c>
      <c r="B49" s="2">
        <v>45465.196049262151</v>
      </c>
      <c r="C49" s="2">
        <v>45369.058435329862</v>
      </c>
      <c r="D49" s="2">
        <v>45529.287791883682</v>
      </c>
      <c r="E49">
        <v>1</v>
      </c>
      <c r="F49">
        <v>10</v>
      </c>
      <c r="G49">
        <v>1</v>
      </c>
      <c r="H49">
        <v>9.7000000000000003E-2</v>
      </c>
      <c r="I49">
        <v>0.65800000000000003</v>
      </c>
      <c r="J49">
        <v>9.0999999999999998E-2</v>
      </c>
      <c r="K49">
        <v>19.608000000000001</v>
      </c>
      <c r="L49">
        <v>10</v>
      </c>
      <c r="M49">
        <v>9</v>
      </c>
      <c r="N49">
        <v>900</v>
      </c>
      <c r="O49">
        <v>3</v>
      </c>
      <c r="P49">
        <v>9</v>
      </c>
      <c r="Q49">
        <v>90</v>
      </c>
      <c r="R49">
        <v>2</v>
      </c>
      <c r="S49" t="b">
        <v>1</v>
      </c>
      <c r="T49">
        <v>1</v>
      </c>
      <c r="U49">
        <v>4</v>
      </c>
      <c r="V49">
        <v>3</v>
      </c>
      <c r="W49">
        <v>8.5</v>
      </c>
      <c r="X49">
        <v>1</v>
      </c>
      <c r="Y49">
        <v>1</v>
      </c>
    </row>
    <row r="50" spans="1:25">
      <c r="A50">
        <v>67</v>
      </c>
      <c r="B50" s="2">
        <v>45304.966692708331</v>
      </c>
      <c r="C50" s="2">
        <v>45208.829078776042</v>
      </c>
      <c r="D50" s="2">
        <v>45337.012564019104</v>
      </c>
      <c r="E50">
        <v>1</v>
      </c>
      <c r="F50">
        <v>7</v>
      </c>
      <c r="G50">
        <v>1</v>
      </c>
      <c r="H50">
        <v>2.5000000000000001E-2</v>
      </c>
      <c r="I50">
        <v>0.26800000000000002</v>
      </c>
      <c r="J50">
        <v>6.3E-2</v>
      </c>
      <c r="K50">
        <v>14.286</v>
      </c>
      <c r="L50">
        <v>7</v>
      </c>
      <c r="M50">
        <v>6</v>
      </c>
      <c r="N50">
        <v>600</v>
      </c>
      <c r="O50">
        <v>2</v>
      </c>
      <c r="P50">
        <v>6</v>
      </c>
      <c r="Q50">
        <v>85.713999999999999</v>
      </c>
      <c r="R50">
        <v>1</v>
      </c>
      <c r="S50" t="b">
        <v>1</v>
      </c>
      <c r="T50">
        <v>1</v>
      </c>
      <c r="U50">
        <v>3.25</v>
      </c>
      <c r="V50">
        <v>2.25</v>
      </c>
      <c r="W50">
        <v>6.625</v>
      </c>
      <c r="X50">
        <v>1</v>
      </c>
      <c r="Y5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4"/>
  <sheetViews>
    <sheetView workbookViewId="0"/>
  </sheetViews>
  <sheetFormatPr baseColWidth="10" defaultColWidth="9.140625"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s="2">
        <v>45657.471277126737</v>
      </c>
      <c r="C2" s="2">
        <v>45593.379534505213</v>
      </c>
      <c r="D2" s="2">
        <v>45721.563019748261</v>
      </c>
      <c r="E2">
        <v>11</v>
      </c>
      <c r="F2">
        <v>177</v>
      </c>
      <c r="G2">
        <v>11</v>
      </c>
      <c r="H2">
        <v>1.407</v>
      </c>
      <c r="I2">
        <v>4.8010000000000002</v>
      </c>
      <c r="J2">
        <v>2.14</v>
      </c>
      <c r="K2">
        <v>12.967000000000001</v>
      </c>
      <c r="L2">
        <v>7.6959999999999997</v>
      </c>
      <c r="M2">
        <v>166</v>
      </c>
      <c r="N2">
        <v>1509.0909999999999</v>
      </c>
      <c r="O2">
        <v>2</v>
      </c>
      <c r="P2">
        <v>166</v>
      </c>
      <c r="Q2">
        <v>93.784999999999997</v>
      </c>
      <c r="R2">
        <v>2</v>
      </c>
      <c r="S2" t="b">
        <v>1</v>
      </c>
      <c r="T2">
        <v>16.75</v>
      </c>
      <c r="U2">
        <v>52.75</v>
      </c>
      <c r="V2">
        <v>36</v>
      </c>
      <c r="W2">
        <v>106.75</v>
      </c>
      <c r="X2">
        <v>2</v>
      </c>
      <c r="Y2">
        <v>1</v>
      </c>
    </row>
    <row r="3" spans="1:25">
      <c r="A3">
        <v>1</v>
      </c>
      <c r="B3" s="2">
        <v>45208.829078776042</v>
      </c>
      <c r="C3" s="2">
        <v>45144.737336154511</v>
      </c>
      <c r="D3" s="2">
        <v>45272.920821397573</v>
      </c>
      <c r="E3">
        <v>20</v>
      </c>
      <c r="F3">
        <v>156</v>
      </c>
      <c r="G3">
        <v>23</v>
      </c>
      <c r="H3">
        <v>2.4449999999999998</v>
      </c>
      <c r="I3">
        <v>3.843</v>
      </c>
      <c r="J3">
        <v>1.6890000000000001</v>
      </c>
      <c r="K3">
        <v>11.429</v>
      </c>
      <c r="L3">
        <v>6.7830000000000004</v>
      </c>
      <c r="M3">
        <v>136</v>
      </c>
      <c r="N3">
        <v>680</v>
      </c>
      <c r="O3">
        <v>2</v>
      </c>
      <c r="P3">
        <v>133</v>
      </c>
      <c r="Q3">
        <v>85.256</v>
      </c>
      <c r="R3">
        <v>2</v>
      </c>
      <c r="S3" t="b">
        <v>1</v>
      </c>
      <c r="T3">
        <v>16.75</v>
      </c>
      <c r="U3">
        <v>52.75</v>
      </c>
      <c r="V3">
        <v>36</v>
      </c>
      <c r="W3">
        <v>106.75</v>
      </c>
      <c r="X3">
        <v>1</v>
      </c>
      <c r="Y3">
        <v>2</v>
      </c>
    </row>
    <row r="4" spans="1:25">
      <c r="A4">
        <v>1</v>
      </c>
      <c r="B4" s="2">
        <v>45753.608891059033</v>
      </c>
      <c r="C4" s="2">
        <v>45721.563019748261</v>
      </c>
      <c r="D4" s="2">
        <v>45817.700633680557</v>
      </c>
      <c r="E4">
        <v>11</v>
      </c>
      <c r="F4">
        <v>108</v>
      </c>
      <c r="G4">
        <v>19</v>
      </c>
      <c r="H4">
        <v>2.14</v>
      </c>
      <c r="I4">
        <v>4.9180000000000001</v>
      </c>
      <c r="J4">
        <v>2.754</v>
      </c>
      <c r="K4">
        <v>7.9119999999999999</v>
      </c>
      <c r="L4">
        <v>4.6959999999999997</v>
      </c>
      <c r="M4">
        <v>97</v>
      </c>
      <c r="N4">
        <v>881.81799999999998</v>
      </c>
      <c r="O4">
        <v>1</v>
      </c>
      <c r="P4">
        <v>89</v>
      </c>
      <c r="Q4">
        <v>82.406999999999996</v>
      </c>
      <c r="R4">
        <v>2</v>
      </c>
      <c r="S4" t="b">
        <v>1</v>
      </c>
      <c r="T4">
        <v>16.75</v>
      </c>
      <c r="U4">
        <v>52.75</v>
      </c>
      <c r="V4">
        <v>36</v>
      </c>
      <c r="W4">
        <v>106.75</v>
      </c>
      <c r="X4">
        <v>1</v>
      </c>
      <c r="Y4">
        <v>3</v>
      </c>
    </row>
    <row r="5" spans="1:25">
      <c r="A5">
        <v>3</v>
      </c>
      <c r="B5" s="2">
        <v>45753.608891059033</v>
      </c>
      <c r="C5" s="2">
        <v>45721.563019748261</v>
      </c>
      <c r="D5" s="2">
        <v>45817.700633680557</v>
      </c>
      <c r="E5">
        <v>5</v>
      </c>
      <c r="F5">
        <v>130</v>
      </c>
      <c r="G5">
        <v>8</v>
      </c>
      <c r="H5">
        <v>0.97299999999999998</v>
      </c>
      <c r="I5">
        <v>5.92</v>
      </c>
      <c r="J5">
        <v>1.159</v>
      </c>
      <c r="K5">
        <v>14.673</v>
      </c>
      <c r="L5">
        <v>6.5</v>
      </c>
      <c r="M5">
        <v>125</v>
      </c>
      <c r="N5">
        <v>2500</v>
      </c>
      <c r="O5">
        <v>1</v>
      </c>
      <c r="P5">
        <v>122</v>
      </c>
      <c r="Q5">
        <v>93.846000000000004</v>
      </c>
      <c r="R5">
        <v>2</v>
      </c>
      <c r="S5" t="b">
        <v>1</v>
      </c>
      <c r="T5">
        <v>11</v>
      </c>
      <c r="U5">
        <v>36.5</v>
      </c>
      <c r="V5">
        <v>25.5</v>
      </c>
      <c r="W5">
        <v>74.75</v>
      </c>
      <c r="X5">
        <v>1</v>
      </c>
      <c r="Y5">
        <v>1</v>
      </c>
    </row>
    <row r="6" spans="1:25">
      <c r="A6">
        <v>3</v>
      </c>
      <c r="B6" s="2">
        <v>45657.471277126737</v>
      </c>
      <c r="C6" s="2">
        <v>45625.425405815971</v>
      </c>
      <c r="D6" s="2">
        <v>45721.563019748261</v>
      </c>
      <c r="E6">
        <v>7</v>
      </c>
      <c r="F6">
        <v>88</v>
      </c>
      <c r="G6">
        <v>5</v>
      </c>
      <c r="H6">
        <v>0.58399999999999996</v>
      </c>
      <c r="I6">
        <v>2.387</v>
      </c>
      <c r="J6">
        <v>0.97299999999999998</v>
      </c>
      <c r="K6">
        <v>9.9320000000000004</v>
      </c>
      <c r="L6">
        <v>4.4000000000000004</v>
      </c>
      <c r="M6">
        <v>81</v>
      </c>
      <c r="N6">
        <v>1157.143</v>
      </c>
      <c r="O6">
        <v>1</v>
      </c>
      <c r="P6">
        <v>83</v>
      </c>
      <c r="Q6">
        <v>94.317999999999998</v>
      </c>
      <c r="R6">
        <v>2</v>
      </c>
      <c r="S6" t="b">
        <v>1</v>
      </c>
      <c r="T6">
        <v>11</v>
      </c>
      <c r="U6">
        <v>36.5</v>
      </c>
      <c r="V6">
        <v>25.5</v>
      </c>
      <c r="W6">
        <v>74.75</v>
      </c>
      <c r="X6">
        <v>1</v>
      </c>
      <c r="Y6">
        <v>2</v>
      </c>
    </row>
    <row r="7" spans="1:25">
      <c r="A7">
        <v>3</v>
      </c>
      <c r="B7" s="2">
        <v>45433.150177951393</v>
      </c>
      <c r="C7" s="2">
        <v>45369.058435329862</v>
      </c>
      <c r="D7" s="2">
        <v>45465.196049262151</v>
      </c>
      <c r="E7">
        <v>6</v>
      </c>
      <c r="F7">
        <v>53</v>
      </c>
      <c r="G7">
        <v>35</v>
      </c>
      <c r="H7">
        <v>0.58099999999999996</v>
      </c>
      <c r="I7">
        <v>1.758</v>
      </c>
      <c r="J7">
        <v>2.3039999999999998</v>
      </c>
      <c r="K7">
        <v>5.9820000000000002</v>
      </c>
      <c r="L7">
        <v>2.65</v>
      </c>
      <c r="M7">
        <v>47</v>
      </c>
      <c r="N7">
        <v>783.33299999999997</v>
      </c>
      <c r="O7">
        <v>2</v>
      </c>
      <c r="P7">
        <v>18</v>
      </c>
      <c r="Q7">
        <v>33.962000000000003</v>
      </c>
      <c r="R7">
        <v>1</v>
      </c>
      <c r="S7" t="b">
        <v>0</v>
      </c>
      <c r="T7">
        <v>11</v>
      </c>
      <c r="U7">
        <v>36.5</v>
      </c>
      <c r="V7">
        <v>25.5</v>
      </c>
      <c r="W7">
        <v>74.75</v>
      </c>
      <c r="X7">
        <v>1</v>
      </c>
      <c r="Y7">
        <v>3</v>
      </c>
    </row>
    <row r="8" spans="1:25">
      <c r="A8">
        <v>7</v>
      </c>
      <c r="B8" s="2">
        <v>45208.829078776042</v>
      </c>
      <c r="C8" s="2">
        <v>45144.737336154511</v>
      </c>
      <c r="D8" s="2">
        <v>45272.920821397573</v>
      </c>
      <c r="E8">
        <v>7</v>
      </c>
      <c r="F8">
        <v>43</v>
      </c>
      <c r="G8">
        <v>11</v>
      </c>
      <c r="H8">
        <v>0.85599999999999998</v>
      </c>
      <c r="I8">
        <v>1.0589999999999999</v>
      </c>
      <c r="J8">
        <v>0.80800000000000005</v>
      </c>
      <c r="K8">
        <v>7.7480000000000002</v>
      </c>
      <c r="L8">
        <v>3.44</v>
      </c>
      <c r="M8">
        <v>36</v>
      </c>
      <c r="N8">
        <v>514.28599999999994</v>
      </c>
      <c r="O8">
        <v>2</v>
      </c>
      <c r="P8">
        <v>32</v>
      </c>
      <c r="Q8">
        <v>74.418999999999997</v>
      </c>
      <c r="R8">
        <v>2</v>
      </c>
      <c r="S8" t="b">
        <v>0</v>
      </c>
      <c r="T8">
        <v>7.75</v>
      </c>
      <c r="U8">
        <v>25.5</v>
      </c>
      <c r="V8">
        <v>17.75</v>
      </c>
      <c r="W8">
        <v>52.125</v>
      </c>
      <c r="X8">
        <v>1</v>
      </c>
      <c r="Y8">
        <v>1</v>
      </c>
    </row>
    <row r="9" spans="1:25">
      <c r="A9">
        <v>7</v>
      </c>
      <c r="B9" s="2">
        <v>45304.966692708331</v>
      </c>
      <c r="C9" s="2">
        <v>45272.920821397573</v>
      </c>
      <c r="D9" s="2">
        <v>45369.058435329862</v>
      </c>
      <c r="E9">
        <v>11</v>
      </c>
      <c r="F9">
        <v>36</v>
      </c>
      <c r="G9">
        <v>6</v>
      </c>
      <c r="H9">
        <v>0.80800000000000005</v>
      </c>
      <c r="I9">
        <v>1.377</v>
      </c>
      <c r="J9">
        <v>0.58099999999999996</v>
      </c>
      <c r="K9">
        <v>6.4859999999999998</v>
      </c>
      <c r="L9">
        <v>2.88</v>
      </c>
      <c r="M9">
        <v>25</v>
      </c>
      <c r="N9">
        <v>227.273</v>
      </c>
      <c r="O9">
        <v>1</v>
      </c>
      <c r="P9">
        <v>30</v>
      </c>
      <c r="Q9">
        <v>83.332999999999998</v>
      </c>
      <c r="R9">
        <v>2</v>
      </c>
      <c r="S9" t="b">
        <v>0</v>
      </c>
      <c r="T9">
        <v>7.75</v>
      </c>
      <c r="U9">
        <v>25.5</v>
      </c>
      <c r="V9">
        <v>17.75</v>
      </c>
      <c r="W9">
        <v>52.125</v>
      </c>
      <c r="X9">
        <v>1</v>
      </c>
      <c r="Y9">
        <v>2</v>
      </c>
    </row>
    <row r="10" spans="1:25">
      <c r="A10">
        <v>7</v>
      </c>
      <c r="B10" s="2">
        <v>45753.608891059033</v>
      </c>
      <c r="C10" s="2">
        <v>45721.563019748261</v>
      </c>
      <c r="D10" s="2">
        <v>45817.700633680557</v>
      </c>
      <c r="E10">
        <v>3</v>
      </c>
      <c r="F10">
        <v>36</v>
      </c>
      <c r="G10">
        <v>7</v>
      </c>
      <c r="H10">
        <v>0.58399999999999996</v>
      </c>
      <c r="I10">
        <v>1.639</v>
      </c>
      <c r="J10">
        <v>1.014</v>
      </c>
      <c r="K10">
        <v>6.4859999999999998</v>
      </c>
      <c r="L10">
        <v>2.88</v>
      </c>
      <c r="M10">
        <v>33</v>
      </c>
      <c r="N10">
        <v>1100</v>
      </c>
      <c r="O10">
        <v>1</v>
      </c>
      <c r="P10">
        <v>29</v>
      </c>
      <c r="Q10">
        <v>80.555999999999997</v>
      </c>
      <c r="R10">
        <v>2</v>
      </c>
      <c r="S10" t="b">
        <v>0</v>
      </c>
      <c r="T10">
        <v>7.75</v>
      </c>
      <c r="U10">
        <v>25.5</v>
      </c>
      <c r="V10">
        <v>17.75</v>
      </c>
      <c r="W10">
        <v>52.125</v>
      </c>
      <c r="X10">
        <v>1</v>
      </c>
      <c r="Y10">
        <v>3</v>
      </c>
    </row>
    <row r="11" spans="1:25">
      <c r="A11">
        <v>9</v>
      </c>
      <c r="B11" s="2">
        <v>45080.645593532987</v>
      </c>
      <c r="C11" s="2">
        <v>45047.574254340281</v>
      </c>
      <c r="D11" s="2">
        <v>45144.737336154511</v>
      </c>
      <c r="E11">
        <v>8</v>
      </c>
      <c r="F11">
        <v>43</v>
      </c>
      <c r="G11">
        <v>17</v>
      </c>
      <c r="H11">
        <v>1.3089999999999999</v>
      </c>
      <c r="I11">
        <v>2.5840000000000001</v>
      </c>
      <c r="J11">
        <v>2.0779999999999998</v>
      </c>
      <c r="K11">
        <v>7.8040000000000003</v>
      </c>
      <c r="L11">
        <v>2.5289999999999999</v>
      </c>
      <c r="M11">
        <v>35</v>
      </c>
      <c r="N11">
        <v>437.5</v>
      </c>
      <c r="O11">
        <v>1</v>
      </c>
      <c r="P11">
        <v>26</v>
      </c>
      <c r="Q11">
        <v>60.465000000000003</v>
      </c>
      <c r="R11">
        <v>2</v>
      </c>
      <c r="S11" t="b">
        <v>0</v>
      </c>
      <c r="T11">
        <v>7</v>
      </c>
      <c r="U11">
        <v>27</v>
      </c>
      <c r="V11">
        <v>20</v>
      </c>
      <c r="W11">
        <v>57</v>
      </c>
      <c r="X11">
        <v>1</v>
      </c>
      <c r="Y11">
        <v>1</v>
      </c>
    </row>
    <row r="12" spans="1:25">
      <c r="A12">
        <v>9</v>
      </c>
      <c r="B12" s="2">
        <v>45176.783207465283</v>
      </c>
      <c r="C12" s="2">
        <v>45144.737336154511</v>
      </c>
      <c r="D12" s="2">
        <v>45272.920821397573</v>
      </c>
      <c r="E12">
        <v>17</v>
      </c>
      <c r="F12">
        <v>38</v>
      </c>
      <c r="G12">
        <v>14</v>
      </c>
      <c r="H12">
        <v>2.0779999999999998</v>
      </c>
      <c r="I12">
        <v>2.5990000000000002</v>
      </c>
      <c r="J12">
        <v>1.028</v>
      </c>
      <c r="K12">
        <v>6.8970000000000002</v>
      </c>
      <c r="L12">
        <v>2.2349999999999999</v>
      </c>
      <c r="M12">
        <v>21</v>
      </c>
      <c r="N12">
        <v>123.529</v>
      </c>
      <c r="O12">
        <v>1</v>
      </c>
      <c r="P12">
        <v>24</v>
      </c>
      <c r="Q12">
        <v>63.158000000000001</v>
      </c>
      <c r="R12">
        <v>3</v>
      </c>
      <c r="S12" t="b">
        <v>0</v>
      </c>
      <c r="T12">
        <v>7</v>
      </c>
      <c r="U12">
        <v>27</v>
      </c>
      <c r="V12">
        <v>20</v>
      </c>
      <c r="W12">
        <v>57</v>
      </c>
      <c r="X12">
        <v>1</v>
      </c>
      <c r="Y12">
        <v>2</v>
      </c>
    </row>
    <row r="13" spans="1:25">
      <c r="A13">
        <v>9</v>
      </c>
      <c r="B13" s="2">
        <v>45689.517148437502</v>
      </c>
      <c r="C13" s="2">
        <v>45593.379534505213</v>
      </c>
      <c r="D13" s="2">
        <v>45721.563019748261</v>
      </c>
      <c r="E13">
        <v>5</v>
      </c>
      <c r="F13">
        <v>33</v>
      </c>
      <c r="G13">
        <v>5</v>
      </c>
      <c r="H13">
        <v>0.63900000000000001</v>
      </c>
      <c r="I13">
        <v>1.1819999999999999</v>
      </c>
      <c r="J13">
        <v>0.97299999999999998</v>
      </c>
      <c r="K13">
        <v>5.9889999999999999</v>
      </c>
      <c r="L13">
        <v>1.9410000000000001</v>
      </c>
      <c r="M13">
        <v>28</v>
      </c>
      <c r="N13">
        <v>560</v>
      </c>
      <c r="O13">
        <v>3</v>
      </c>
      <c r="P13">
        <v>28</v>
      </c>
      <c r="Q13">
        <v>84.847999999999999</v>
      </c>
      <c r="R13">
        <v>1</v>
      </c>
      <c r="S13" t="b">
        <v>0</v>
      </c>
      <c r="T13">
        <v>7</v>
      </c>
      <c r="U13">
        <v>27</v>
      </c>
      <c r="V13">
        <v>20</v>
      </c>
      <c r="W13">
        <v>57</v>
      </c>
      <c r="X13">
        <v>1</v>
      </c>
      <c r="Y13">
        <v>3</v>
      </c>
    </row>
    <row r="14" spans="1:25">
      <c r="A14">
        <v>10</v>
      </c>
      <c r="B14" s="2">
        <v>45208.829078776042</v>
      </c>
      <c r="C14" s="2">
        <v>45176.783207465283</v>
      </c>
      <c r="D14" s="2">
        <v>45272.920821397573</v>
      </c>
      <c r="E14">
        <v>6</v>
      </c>
      <c r="F14">
        <v>98</v>
      </c>
      <c r="G14">
        <v>12</v>
      </c>
      <c r="H14">
        <v>0.41</v>
      </c>
      <c r="I14">
        <v>2.4140000000000001</v>
      </c>
      <c r="J14">
        <v>0.88100000000000001</v>
      </c>
      <c r="K14">
        <v>18.882000000000001</v>
      </c>
      <c r="L14">
        <v>8.1669999999999998</v>
      </c>
      <c r="M14">
        <v>92</v>
      </c>
      <c r="N14">
        <v>1533.3330000000001</v>
      </c>
      <c r="O14">
        <v>1</v>
      </c>
      <c r="P14">
        <v>86</v>
      </c>
      <c r="Q14">
        <v>87.754999999999995</v>
      </c>
      <c r="R14">
        <v>2</v>
      </c>
      <c r="S14" t="b">
        <v>1</v>
      </c>
      <c r="T14">
        <v>5.25</v>
      </c>
      <c r="U14">
        <v>16</v>
      </c>
      <c r="V14">
        <v>10.75</v>
      </c>
      <c r="W14">
        <v>32.125</v>
      </c>
      <c r="X14">
        <v>1</v>
      </c>
      <c r="Y14">
        <v>1</v>
      </c>
    </row>
    <row r="15" spans="1:25">
      <c r="A15">
        <v>10</v>
      </c>
      <c r="B15" s="2">
        <v>45401.104306640627</v>
      </c>
      <c r="C15" s="2">
        <v>45337.012564019104</v>
      </c>
      <c r="D15" s="2">
        <v>45465.196049262151</v>
      </c>
      <c r="E15">
        <v>5</v>
      </c>
      <c r="F15">
        <v>65</v>
      </c>
      <c r="G15">
        <v>12</v>
      </c>
      <c r="H15">
        <v>0.317</v>
      </c>
      <c r="I15">
        <v>3.3820000000000001</v>
      </c>
      <c r="J15">
        <v>0.79</v>
      </c>
      <c r="K15">
        <v>12.523999999999999</v>
      </c>
      <c r="L15">
        <v>5.4169999999999998</v>
      </c>
      <c r="M15">
        <v>60</v>
      </c>
      <c r="N15">
        <v>1200</v>
      </c>
      <c r="O15">
        <v>2</v>
      </c>
      <c r="P15">
        <v>53</v>
      </c>
      <c r="Q15">
        <v>81.537999999999997</v>
      </c>
      <c r="R15">
        <v>2</v>
      </c>
      <c r="S15" t="b">
        <v>1</v>
      </c>
      <c r="T15">
        <v>5.25</v>
      </c>
      <c r="U15">
        <v>16</v>
      </c>
      <c r="V15">
        <v>10.75</v>
      </c>
      <c r="W15">
        <v>32.125</v>
      </c>
      <c r="X15">
        <v>2</v>
      </c>
      <c r="Y15">
        <v>2</v>
      </c>
    </row>
    <row r="16" spans="1:25">
      <c r="A16">
        <v>10</v>
      </c>
      <c r="B16" s="2">
        <v>45529.287791883682</v>
      </c>
      <c r="C16" s="2">
        <v>45465.196049262151</v>
      </c>
      <c r="D16" s="2">
        <v>45593.379534505213</v>
      </c>
      <c r="E16">
        <v>12</v>
      </c>
      <c r="F16">
        <v>19</v>
      </c>
      <c r="G16">
        <v>3</v>
      </c>
      <c r="H16">
        <v>0.79</v>
      </c>
      <c r="I16">
        <v>1.7350000000000001</v>
      </c>
      <c r="J16">
        <v>0.38400000000000001</v>
      </c>
      <c r="K16">
        <v>3.661</v>
      </c>
      <c r="L16">
        <v>1.583</v>
      </c>
      <c r="M16">
        <v>7</v>
      </c>
      <c r="N16">
        <v>58.332999999999998</v>
      </c>
      <c r="O16">
        <v>2</v>
      </c>
      <c r="P16">
        <v>16</v>
      </c>
      <c r="Q16">
        <v>84.210999999999999</v>
      </c>
      <c r="R16">
        <v>2</v>
      </c>
      <c r="S16" t="b">
        <v>0</v>
      </c>
      <c r="T16">
        <v>5.25</v>
      </c>
      <c r="U16">
        <v>16</v>
      </c>
      <c r="V16">
        <v>10.75</v>
      </c>
      <c r="W16">
        <v>32.125</v>
      </c>
      <c r="X16">
        <v>1</v>
      </c>
      <c r="Y16">
        <v>3</v>
      </c>
    </row>
    <row r="17" spans="1:25">
      <c r="A17">
        <v>12</v>
      </c>
      <c r="B17" s="2">
        <v>45304.966692708331</v>
      </c>
      <c r="C17" s="2">
        <v>45272.920821397573</v>
      </c>
      <c r="D17" s="2">
        <v>45369.058435329862</v>
      </c>
      <c r="E17">
        <v>6</v>
      </c>
      <c r="F17">
        <v>127</v>
      </c>
      <c r="G17">
        <v>5</v>
      </c>
      <c r="H17">
        <v>0.441</v>
      </c>
      <c r="I17">
        <v>4.8579999999999997</v>
      </c>
      <c r="J17">
        <v>0.48399999999999999</v>
      </c>
      <c r="K17">
        <v>27.43</v>
      </c>
      <c r="L17">
        <v>21.167000000000002</v>
      </c>
      <c r="M17">
        <v>121</v>
      </c>
      <c r="N17">
        <v>2016.6669999999999</v>
      </c>
      <c r="O17">
        <v>1</v>
      </c>
      <c r="P17">
        <v>122</v>
      </c>
      <c r="Q17">
        <v>96.063000000000002</v>
      </c>
      <c r="R17">
        <v>2</v>
      </c>
      <c r="S17" t="b">
        <v>1</v>
      </c>
      <c r="T17">
        <v>3.5</v>
      </c>
      <c r="U17">
        <v>13.5</v>
      </c>
      <c r="V17">
        <v>10</v>
      </c>
      <c r="W17">
        <v>28.5</v>
      </c>
      <c r="X17">
        <v>1</v>
      </c>
      <c r="Y17">
        <v>1</v>
      </c>
    </row>
    <row r="18" spans="1:25">
      <c r="A18">
        <v>12</v>
      </c>
      <c r="B18" s="2">
        <v>45657.471277126737</v>
      </c>
      <c r="C18" s="2">
        <v>45593.379534505213</v>
      </c>
      <c r="D18" s="2">
        <v>45721.563019748261</v>
      </c>
      <c r="E18">
        <v>2</v>
      </c>
      <c r="F18">
        <v>73</v>
      </c>
      <c r="G18">
        <v>5</v>
      </c>
      <c r="H18">
        <v>0.25600000000000001</v>
      </c>
      <c r="I18">
        <v>1.98</v>
      </c>
      <c r="J18">
        <v>0.97299999999999998</v>
      </c>
      <c r="K18">
        <v>15.766999999999999</v>
      </c>
      <c r="L18">
        <v>12.167</v>
      </c>
      <c r="M18">
        <v>71</v>
      </c>
      <c r="N18">
        <v>3550</v>
      </c>
      <c r="O18">
        <v>2</v>
      </c>
      <c r="P18">
        <v>68</v>
      </c>
      <c r="Q18">
        <v>93.150999999999996</v>
      </c>
      <c r="R18">
        <v>2</v>
      </c>
      <c r="S18" t="b">
        <v>1</v>
      </c>
      <c r="T18">
        <v>3.5</v>
      </c>
      <c r="U18">
        <v>13.5</v>
      </c>
      <c r="V18">
        <v>10</v>
      </c>
      <c r="W18">
        <v>28.5</v>
      </c>
      <c r="X18">
        <v>2</v>
      </c>
      <c r="Y18">
        <v>2</v>
      </c>
    </row>
    <row r="19" spans="1:25">
      <c r="A19">
        <v>12</v>
      </c>
      <c r="B19" s="2">
        <v>45433.150177951393</v>
      </c>
      <c r="C19" s="2">
        <v>45369.058435329862</v>
      </c>
      <c r="D19" s="2">
        <v>45465.196049262151</v>
      </c>
      <c r="E19">
        <v>5</v>
      </c>
      <c r="F19">
        <v>37</v>
      </c>
      <c r="G19">
        <v>7</v>
      </c>
      <c r="H19">
        <v>0.48399999999999999</v>
      </c>
      <c r="I19">
        <v>1.2270000000000001</v>
      </c>
      <c r="J19">
        <v>0.46100000000000002</v>
      </c>
      <c r="K19">
        <v>7.9909999999999997</v>
      </c>
      <c r="L19">
        <v>6.1669999999999998</v>
      </c>
      <c r="M19">
        <v>32</v>
      </c>
      <c r="N19">
        <v>640</v>
      </c>
      <c r="O19">
        <v>2</v>
      </c>
      <c r="P19">
        <v>30</v>
      </c>
      <c r="Q19">
        <v>81.081000000000003</v>
      </c>
      <c r="R19">
        <v>1</v>
      </c>
      <c r="S19" t="b">
        <v>1</v>
      </c>
      <c r="T19">
        <v>3.5</v>
      </c>
      <c r="U19">
        <v>13.5</v>
      </c>
      <c r="V19">
        <v>10</v>
      </c>
      <c r="W19">
        <v>28.5</v>
      </c>
      <c r="X19">
        <v>1</v>
      </c>
      <c r="Y19">
        <v>3</v>
      </c>
    </row>
    <row r="20" spans="1:25">
      <c r="A20">
        <v>16</v>
      </c>
      <c r="B20" s="2">
        <v>45176.783207465283</v>
      </c>
      <c r="C20" s="2">
        <v>45144.737336154511</v>
      </c>
      <c r="D20" s="2">
        <v>45240.874950086807</v>
      </c>
      <c r="E20">
        <v>6</v>
      </c>
      <c r="F20">
        <v>31</v>
      </c>
      <c r="G20">
        <v>7</v>
      </c>
      <c r="H20">
        <v>0.73299999999999998</v>
      </c>
      <c r="I20">
        <v>2.12</v>
      </c>
      <c r="J20">
        <v>0.35599999999999998</v>
      </c>
      <c r="K20">
        <v>7.6920000000000002</v>
      </c>
      <c r="L20">
        <v>2.3849999999999998</v>
      </c>
      <c r="M20">
        <v>25</v>
      </c>
      <c r="N20">
        <v>416.66699999999997</v>
      </c>
      <c r="O20">
        <v>1</v>
      </c>
      <c r="P20">
        <v>24</v>
      </c>
      <c r="Q20">
        <v>77.418999999999997</v>
      </c>
      <c r="R20">
        <v>2</v>
      </c>
      <c r="S20" t="b">
        <v>0</v>
      </c>
      <c r="T20">
        <v>6</v>
      </c>
      <c r="U20">
        <v>19.5</v>
      </c>
      <c r="V20">
        <v>13.5</v>
      </c>
      <c r="W20">
        <v>39.75</v>
      </c>
      <c r="X20">
        <v>1</v>
      </c>
      <c r="Y20">
        <v>1</v>
      </c>
    </row>
    <row r="21" spans="1:25">
      <c r="A21">
        <v>16</v>
      </c>
      <c r="B21" s="2">
        <v>45304.966692708331</v>
      </c>
      <c r="C21" s="2">
        <v>45240.874950086807</v>
      </c>
      <c r="D21" s="2">
        <v>45369.058435329862</v>
      </c>
      <c r="E21">
        <v>7</v>
      </c>
      <c r="F21">
        <v>30</v>
      </c>
      <c r="G21">
        <v>9</v>
      </c>
      <c r="H21">
        <v>0.35599999999999998</v>
      </c>
      <c r="I21">
        <v>1.1479999999999999</v>
      </c>
      <c r="J21">
        <v>0.872</v>
      </c>
      <c r="K21">
        <v>7.444</v>
      </c>
      <c r="L21">
        <v>2.3079999999999998</v>
      </c>
      <c r="M21">
        <v>23</v>
      </c>
      <c r="N21">
        <v>328.57100000000003</v>
      </c>
      <c r="O21">
        <v>2</v>
      </c>
      <c r="P21">
        <v>21</v>
      </c>
      <c r="Q21">
        <v>70</v>
      </c>
      <c r="R21">
        <v>2</v>
      </c>
      <c r="S21" t="b">
        <v>0</v>
      </c>
      <c r="T21">
        <v>6</v>
      </c>
      <c r="U21">
        <v>19.5</v>
      </c>
      <c r="V21">
        <v>13.5</v>
      </c>
      <c r="W21">
        <v>39.75</v>
      </c>
      <c r="X21">
        <v>1</v>
      </c>
      <c r="Y21">
        <v>2</v>
      </c>
    </row>
    <row r="22" spans="1:25">
      <c r="A22">
        <v>16</v>
      </c>
      <c r="B22" s="2">
        <v>45529.287791883682</v>
      </c>
      <c r="C22" s="2">
        <v>45465.196049262151</v>
      </c>
      <c r="D22" s="2">
        <v>45625.425405815971</v>
      </c>
      <c r="E22">
        <v>5</v>
      </c>
      <c r="F22">
        <v>24</v>
      </c>
      <c r="G22">
        <v>5</v>
      </c>
      <c r="H22">
        <v>0.32900000000000001</v>
      </c>
      <c r="I22">
        <v>2.1920000000000002</v>
      </c>
      <c r="J22">
        <v>0.41699999999999998</v>
      </c>
      <c r="K22">
        <v>5.9550000000000001</v>
      </c>
      <c r="L22">
        <v>1.8460000000000001</v>
      </c>
      <c r="M22">
        <v>19</v>
      </c>
      <c r="N22">
        <v>380</v>
      </c>
      <c r="O22">
        <v>2</v>
      </c>
      <c r="P22">
        <v>19</v>
      </c>
      <c r="Q22">
        <v>79.167000000000002</v>
      </c>
      <c r="R22">
        <v>3</v>
      </c>
      <c r="S22" t="b">
        <v>0</v>
      </c>
      <c r="T22">
        <v>6</v>
      </c>
      <c r="U22">
        <v>19.5</v>
      </c>
      <c r="V22">
        <v>13.5</v>
      </c>
      <c r="W22">
        <v>39.75</v>
      </c>
      <c r="X22">
        <v>1</v>
      </c>
      <c r="Y22">
        <v>3</v>
      </c>
    </row>
    <row r="23" spans="1:25">
      <c r="A23">
        <v>17</v>
      </c>
      <c r="B23" s="2">
        <v>45625.425405815971</v>
      </c>
      <c r="C23" s="2">
        <v>45593.379534505213</v>
      </c>
      <c r="D23" s="2">
        <v>45721.563019748261</v>
      </c>
      <c r="E23">
        <v>2</v>
      </c>
      <c r="F23">
        <v>106</v>
      </c>
      <c r="G23">
        <v>6</v>
      </c>
      <c r="H23">
        <v>0.25600000000000001</v>
      </c>
      <c r="I23">
        <v>8.8480000000000008</v>
      </c>
      <c r="J23">
        <v>1.167</v>
      </c>
      <c r="K23">
        <v>27.11</v>
      </c>
      <c r="L23">
        <v>14.132999999999999</v>
      </c>
      <c r="M23">
        <v>104</v>
      </c>
      <c r="N23">
        <v>5200</v>
      </c>
      <c r="O23">
        <v>1</v>
      </c>
      <c r="P23">
        <v>100</v>
      </c>
      <c r="Q23">
        <v>94.34</v>
      </c>
      <c r="R23">
        <v>3</v>
      </c>
      <c r="S23" t="b">
        <v>1</v>
      </c>
      <c r="T23">
        <v>5.25</v>
      </c>
      <c r="U23">
        <v>11</v>
      </c>
      <c r="V23">
        <v>5.75</v>
      </c>
      <c r="W23">
        <v>19.625</v>
      </c>
      <c r="X23">
        <v>3</v>
      </c>
      <c r="Y23">
        <v>1</v>
      </c>
    </row>
    <row r="24" spans="1:25">
      <c r="A24">
        <v>17</v>
      </c>
      <c r="B24" s="2">
        <v>45529.287791883682</v>
      </c>
      <c r="C24" s="2">
        <v>45465.196049262151</v>
      </c>
      <c r="D24" s="2">
        <v>45593.379534505213</v>
      </c>
      <c r="E24">
        <v>9</v>
      </c>
      <c r="F24">
        <v>27</v>
      </c>
      <c r="G24">
        <v>2</v>
      </c>
      <c r="H24">
        <v>0.59199999999999997</v>
      </c>
      <c r="I24">
        <v>2.4660000000000002</v>
      </c>
      <c r="J24">
        <v>0.25600000000000001</v>
      </c>
      <c r="K24">
        <v>6.9050000000000002</v>
      </c>
      <c r="L24">
        <v>3.6</v>
      </c>
      <c r="M24">
        <v>18</v>
      </c>
      <c r="N24">
        <v>200</v>
      </c>
      <c r="O24">
        <v>2</v>
      </c>
      <c r="P24">
        <v>25</v>
      </c>
      <c r="Q24">
        <v>92.593000000000004</v>
      </c>
      <c r="R24">
        <v>2</v>
      </c>
      <c r="S24" t="b">
        <v>1</v>
      </c>
      <c r="T24">
        <v>5.25</v>
      </c>
      <c r="U24">
        <v>11</v>
      </c>
      <c r="V24">
        <v>5.75</v>
      </c>
      <c r="W24">
        <v>19.625</v>
      </c>
      <c r="X24">
        <v>1</v>
      </c>
      <c r="Y24">
        <v>2</v>
      </c>
    </row>
    <row r="25" spans="1:25">
      <c r="A25">
        <v>17</v>
      </c>
      <c r="B25" s="2">
        <v>45304.966692708331</v>
      </c>
      <c r="C25" s="2">
        <v>45272.920821397573</v>
      </c>
      <c r="D25" s="2">
        <v>45337.012564019104</v>
      </c>
      <c r="E25">
        <v>3</v>
      </c>
      <c r="F25">
        <v>12</v>
      </c>
      <c r="G25">
        <v>1</v>
      </c>
      <c r="H25">
        <v>0.22</v>
      </c>
      <c r="I25">
        <v>0.45900000000000002</v>
      </c>
      <c r="J25">
        <v>6.3E-2</v>
      </c>
      <c r="K25">
        <v>3.069</v>
      </c>
      <c r="L25">
        <v>1.6</v>
      </c>
      <c r="M25">
        <v>9</v>
      </c>
      <c r="N25">
        <v>300</v>
      </c>
      <c r="O25">
        <v>1</v>
      </c>
      <c r="P25">
        <v>11</v>
      </c>
      <c r="Q25">
        <v>91.667000000000002</v>
      </c>
      <c r="R25">
        <v>1</v>
      </c>
      <c r="S25" t="b">
        <v>0</v>
      </c>
      <c r="T25">
        <v>5.25</v>
      </c>
      <c r="U25">
        <v>11</v>
      </c>
      <c r="V25">
        <v>5.75</v>
      </c>
      <c r="W25">
        <v>19.625</v>
      </c>
      <c r="X25">
        <v>1</v>
      </c>
      <c r="Y25">
        <v>3</v>
      </c>
    </row>
    <row r="26" spans="1:25">
      <c r="A26">
        <v>19</v>
      </c>
      <c r="B26" s="2">
        <v>45657.471277126737</v>
      </c>
      <c r="C26" s="2">
        <v>45625.425405815971</v>
      </c>
      <c r="D26" s="2">
        <v>45721.563019748261</v>
      </c>
      <c r="E26">
        <v>5</v>
      </c>
      <c r="F26">
        <v>38</v>
      </c>
      <c r="G26">
        <v>4</v>
      </c>
      <c r="H26">
        <v>0.41699999999999998</v>
      </c>
      <c r="I26">
        <v>1.0309999999999999</v>
      </c>
      <c r="J26">
        <v>0.77800000000000002</v>
      </c>
      <c r="K26">
        <v>11.912000000000001</v>
      </c>
      <c r="L26">
        <v>3.8</v>
      </c>
      <c r="M26">
        <v>33</v>
      </c>
      <c r="N26">
        <v>660</v>
      </c>
      <c r="O26">
        <v>1</v>
      </c>
      <c r="P26">
        <v>34</v>
      </c>
      <c r="Q26">
        <v>89.474000000000004</v>
      </c>
      <c r="R26">
        <v>2</v>
      </c>
      <c r="S26" t="b">
        <v>1</v>
      </c>
      <c r="T26">
        <v>6</v>
      </c>
      <c r="U26">
        <v>13</v>
      </c>
      <c r="V26">
        <v>7</v>
      </c>
      <c r="W26">
        <v>23.5</v>
      </c>
      <c r="X26">
        <v>1</v>
      </c>
      <c r="Y26">
        <v>1</v>
      </c>
    </row>
    <row r="27" spans="1:25">
      <c r="A27">
        <v>19</v>
      </c>
      <c r="B27" s="2">
        <v>45208.829078776042</v>
      </c>
      <c r="C27" s="2">
        <v>45144.737336154511</v>
      </c>
      <c r="D27" s="2">
        <v>45240.874950086807</v>
      </c>
      <c r="E27">
        <v>1</v>
      </c>
      <c r="F27">
        <v>17</v>
      </c>
      <c r="G27">
        <v>5</v>
      </c>
      <c r="H27">
        <v>0.122</v>
      </c>
      <c r="I27">
        <v>0.41899999999999998</v>
      </c>
      <c r="J27">
        <v>0.254</v>
      </c>
      <c r="K27">
        <v>5.3289999999999997</v>
      </c>
      <c r="L27">
        <v>1.7</v>
      </c>
      <c r="M27">
        <v>16</v>
      </c>
      <c r="N27">
        <v>1600</v>
      </c>
      <c r="O27">
        <v>2</v>
      </c>
      <c r="P27">
        <v>12</v>
      </c>
      <c r="Q27">
        <v>70.587999999999994</v>
      </c>
      <c r="R27">
        <v>1</v>
      </c>
      <c r="S27" t="b">
        <v>0</v>
      </c>
      <c r="T27">
        <v>6</v>
      </c>
      <c r="U27">
        <v>13</v>
      </c>
      <c r="V27">
        <v>7</v>
      </c>
      <c r="W27">
        <v>23.5</v>
      </c>
      <c r="X27">
        <v>1</v>
      </c>
      <c r="Y27">
        <v>2</v>
      </c>
    </row>
    <row r="28" spans="1:25">
      <c r="A28">
        <v>19</v>
      </c>
      <c r="B28" s="2">
        <v>45465.196049262151</v>
      </c>
      <c r="C28" s="2">
        <v>45369.058435329862</v>
      </c>
      <c r="D28" s="2">
        <v>45593.379534505213</v>
      </c>
      <c r="E28">
        <v>3</v>
      </c>
      <c r="F28">
        <v>15</v>
      </c>
      <c r="G28">
        <v>5</v>
      </c>
      <c r="H28">
        <v>0.29099999999999998</v>
      </c>
      <c r="I28">
        <v>0.98699999999999999</v>
      </c>
      <c r="J28">
        <v>0.63900000000000001</v>
      </c>
      <c r="K28">
        <v>4.702</v>
      </c>
      <c r="L28">
        <v>1.5</v>
      </c>
      <c r="M28">
        <v>12</v>
      </c>
      <c r="N28">
        <v>400</v>
      </c>
      <c r="O28">
        <v>3</v>
      </c>
      <c r="P28">
        <v>10</v>
      </c>
      <c r="Q28">
        <v>66.667000000000002</v>
      </c>
      <c r="R28">
        <v>4</v>
      </c>
      <c r="S28" t="b">
        <v>0</v>
      </c>
      <c r="T28">
        <v>6</v>
      </c>
      <c r="U28">
        <v>13</v>
      </c>
      <c r="V28">
        <v>7</v>
      </c>
      <c r="W28">
        <v>23.5</v>
      </c>
      <c r="X28">
        <v>1</v>
      </c>
      <c r="Y28">
        <v>3</v>
      </c>
    </row>
    <row r="29" spans="1:25">
      <c r="A29">
        <v>21</v>
      </c>
      <c r="B29" s="2">
        <v>45433.150177951393</v>
      </c>
      <c r="C29" s="2">
        <v>45369.058435329862</v>
      </c>
      <c r="D29" s="2">
        <v>45465.196049262151</v>
      </c>
      <c r="E29">
        <v>2</v>
      </c>
      <c r="F29">
        <v>81</v>
      </c>
      <c r="G29">
        <v>4</v>
      </c>
      <c r="H29">
        <v>0.19400000000000001</v>
      </c>
      <c r="I29">
        <v>2.6869999999999998</v>
      </c>
      <c r="J29">
        <v>0.26300000000000001</v>
      </c>
      <c r="K29">
        <v>27.645</v>
      </c>
      <c r="L29">
        <v>18</v>
      </c>
      <c r="M29">
        <v>79</v>
      </c>
      <c r="N29">
        <v>3950</v>
      </c>
      <c r="O29">
        <v>2</v>
      </c>
      <c r="P29">
        <v>77</v>
      </c>
      <c r="Q29">
        <v>95.061999999999998</v>
      </c>
      <c r="R29">
        <v>1</v>
      </c>
      <c r="S29" t="b">
        <v>1</v>
      </c>
      <c r="T29">
        <v>2</v>
      </c>
      <c r="U29">
        <v>10.5</v>
      </c>
      <c r="V29">
        <v>8.5</v>
      </c>
      <c r="W29">
        <v>23.25</v>
      </c>
      <c r="X29">
        <v>1</v>
      </c>
      <c r="Y29">
        <v>1</v>
      </c>
    </row>
    <row r="30" spans="1:25">
      <c r="A30">
        <v>21</v>
      </c>
      <c r="B30" s="2">
        <v>45625.425405815971</v>
      </c>
      <c r="C30" s="2">
        <v>45593.379534505213</v>
      </c>
      <c r="D30" s="2">
        <v>45721.563019748261</v>
      </c>
      <c r="E30">
        <v>2</v>
      </c>
      <c r="F30">
        <v>34</v>
      </c>
      <c r="G30">
        <v>2</v>
      </c>
      <c r="H30">
        <v>0.25600000000000001</v>
      </c>
      <c r="I30">
        <v>2.8380000000000001</v>
      </c>
      <c r="J30">
        <v>0.38900000000000001</v>
      </c>
      <c r="K30">
        <v>11.603999999999999</v>
      </c>
      <c r="L30">
        <v>7.556</v>
      </c>
      <c r="M30">
        <v>32</v>
      </c>
      <c r="N30">
        <v>1600</v>
      </c>
      <c r="O30">
        <v>1</v>
      </c>
      <c r="P30">
        <v>32</v>
      </c>
      <c r="Q30">
        <v>94.117999999999995</v>
      </c>
      <c r="R30">
        <v>3</v>
      </c>
      <c r="S30" t="b">
        <v>1</v>
      </c>
      <c r="T30">
        <v>2</v>
      </c>
      <c r="U30">
        <v>10.5</v>
      </c>
      <c r="V30">
        <v>8.5</v>
      </c>
      <c r="W30">
        <v>23.25</v>
      </c>
      <c r="X30">
        <v>1</v>
      </c>
      <c r="Y30">
        <v>2</v>
      </c>
    </row>
    <row r="31" spans="1:25">
      <c r="A31">
        <v>21</v>
      </c>
      <c r="B31" s="2">
        <v>45208.829078776042</v>
      </c>
      <c r="C31" s="2">
        <v>45144.737336154511</v>
      </c>
      <c r="D31" s="2">
        <v>45272.920821397573</v>
      </c>
      <c r="E31">
        <v>1</v>
      </c>
      <c r="F31">
        <v>21</v>
      </c>
      <c r="G31">
        <v>2</v>
      </c>
      <c r="H31">
        <v>0.122</v>
      </c>
      <c r="I31">
        <v>0.51700000000000002</v>
      </c>
      <c r="J31">
        <v>0.14699999999999999</v>
      </c>
      <c r="K31">
        <v>7.1669999999999998</v>
      </c>
      <c r="L31">
        <v>4.6669999999999998</v>
      </c>
      <c r="M31">
        <v>20</v>
      </c>
      <c r="N31">
        <v>2000</v>
      </c>
      <c r="O31">
        <v>1</v>
      </c>
      <c r="P31">
        <v>19</v>
      </c>
      <c r="Q31">
        <v>90.475999999999999</v>
      </c>
      <c r="R31">
        <v>2</v>
      </c>
      <c r="S31" t="b">
        <v>0</v>
      </c>
      <c r="T31">
        <v>2</v>
      </c>
      <c r="U31">
        <v>10.5</v>
      </c>
      <c r="V31">
        <v>8.5</v>
      </c>
      <c r="W31">
        <v>23.25</v>
      </c>
      <c r="X31">
        <v>1</v>
      </c>
      <c r="Y31">
        <v>3</v>
      </c>
    </row>
    <row r="32" spans="1:25">
      <c r="A32">
        <v>25</v>
      </c>
      <c r="B32" s="2">
        <v>45433.150177951393</v>
      </c>
      <c r="C32" s="2">
        <v>45369.058435329862</v>
      </c>
      <c r="D32" s="2">
        <v>45465.196049262151</v>
      </c>
      <c r="E32">
        <v>2</v>
      </c>
      <c r="F32">
        <v>26</v>
      </c>
      <c r="G32">
        <v>7</v>
      </c>
      <c r="H32">
        <v>0.19400000000000001</v>
      </c>
      <c r="I32">
        <v>0.86199999999999999</v>
      </c>
      <c r="J32">
        <v>0.46100000000000002</v>
      </c>
      <c r="K32">
        <v>10.833</v>
      </c>
      <c r="L32">
        <v>4.3330000000000002</v>
      </c>
      <c r="M32">
        <v>24</v>
      </c>
      <c r="N32">
        <v>1200</v>
      </c>
      <c r="O32">
        <v>2</v>
      </c>
      <c r="P32">
        <v>19</v>
      </c>
      <c r="Q32">
        <v>73.076999999999998</v>
      </c>
      <c r="R32">
        <v>1</v>
      </c>
      <c r="S32" t="b">
        <v>1</v>
      </c>
      <c r="T32">
        <v>4.5</v>
      </c>
      <c r="U32">
        <v>10</v>
      </c>
      <c r="V32">
        <v>5.5</v>
      </c>
      <c r="W32">
        <v>18.25</v>
      </c>
      <c r="X32">
        <v>1</v>
      </c>
      <c r="Y32">
        <v>1</v>
      </c>
    </row>
    <row r="33" spans="1:25">
      <c r="A33">
        <v>25</v>
      </c>
      <c r="B33" s="2">
        <v>45689.517148437502</v>
      </c>
      <c r="C33" s="2">
        <v>45593.379534505213</v>
      </c>
      <c r="D33" s="2">
        <v>45721.563019748261</v>
      </c>
      <c r="E33">
        <v>5</v>
      </c>
      <c r="F33">
        <v>20</v>
      </c>
      <c r="G33">
        <v>3</v>
      </c>
      <c r="H33">
        <v>0.63900000000000001</v>
      </c>
      <c r="I33">
        <v>0.71599999999999997</v>
      </c>
      <c r="J33">
        <v>0.58399999999999996</v>
      </c>
      <c r="K33">
        <v>8.3330000000000002</v>
      </c>
      <c r="L33">
        <v>3.3330000000000002</v>
      </c>
      <c r="M33">
        <v>15</v>
      </c>
      <c r="N33">
        <v>300</v>
      </c>
      <c r="O33">
        <v>3</v>
      </c>
      <c r="P33">
        <v>17</v>
      </c>
      <c r="Q33">
        <v>85</v>
      </c>
      <c r="R33">
        <v>1</v>
      </c>
      <c r="S33" t="b">
        <v>1</v>
      </c>
      <c r="T33">
        <v>4.5</v>
      </c>
      <c r="U33">
        <v>10</v>
      </c>
      <c r="V33">
        <v>5.5</v>
      </c>
      <c r="W33">
        <v>18.25</v>
      </c>
      <c r="X33">
        <v>1</v>
      </c>
      <c r="Y33">
        <v>2</v>
      </c>
    </row>
    <row r="34" spans="1:25">
      <c r="A34">
        <v>25</v>
      </c>
      <c r="B34" s="2">
        <v>45753.608891059033</v>
      </c>
      <c r="C34" s="2">
        <v>45721.563019748261</v>
      </c>
      <c r="D34" s="2">
        <v>45817.700633680557</v>
      </c>
      <c r="E34">
        <v>3</v>
      </c>
      <c r="F34">
        <v>13</v>
      </c>
      <c r="G34">
        <v>1</v>
      </c>
      <c r="H34">
        <v>0.58399999999999996</v>
      </c>
      <c r="I34">
        <v>0.59199999999999997</v>
      </c>
      <c r="J34">
        <v>0.14499999999999999</v>
      </c>
      <c r="K34">
        <v>5.4169999999999998</v>
      </c>
      <c r="L34">
        <v>2.1669999999999998</v>
      </c>
      <c r="M34">
        <v>10</v>
      </c>
      <c r="N34">
        <v>333.33300000000003</v>
      </c>
      <c r="O34">
        <v>1</v>
      </c>
      <c r="P34">
        <v>12</v>
      </c>
      <c r="Q34">
        <v>92.308000000000007</v>
      </c>
      <c r="R34">
        <v>2</v>
      </c>
      <c r="S34" t="b">
        <v>0</v>
      </c>
      <c r="T34">
        <v>4.5</v>
      </c>
      <c r="U34">
        <v>10</v>
      </c>
      <c r="V34">
        <v>5.5</v>
      </c>
      <c r="W34">
        <v>18.25</v>
      </c>
      <c r="X34">
        <v>1</v>
      </c>
      <c r="Y34">
        <v>3</v>
      </c>
    </row>
    <row r="35" spans="1:25">
      <c r="A35">
        <v>26</v>
      </c>
      <c r="B35" s="2">
        <v>45208.829078776042</v>
      </c>
      <c r="C35" s="2">
        <v>45144.737336154511</v>
      </c>
      <c r="D35" s="2">
        <v>45240.874950086807</v>
      </c>
      <c r="E35">
        <v>5</v>
      </c>
      <c r="F35">
        <v>30</v>
      </c>
      <c r="G35">
        <v>6</v>
      </c>
      <c r="H35">
        <v>0.61099999999999999</v>
      </c>
      <c r="I35">
        <v>0.73899999999999999</v>
      </c>
      <c r="J35">
        <v>0.30499999999999999</v>
      </c>
      <c r="K35">
        <v>12.657999999999999</v>
      </c>
      <c r="L35">
        <v>5</v>
      </c>
      <c r="M35">
        <v>25</v>
      </c>
      <c r="N35">
        <v>500</v>
      </c>
      <c r="O35">
        <v>2</v>
      </c>
      <c r="P35">
        <v>24</v>
      </c>
      <c r="Q35">
        <v>80</v>
      </c>
      <c r="R35">
        <v>1</v>
      </c>
      <c r="S35" t="b">
        <v>1</v>
      </c>
      <c r="T35">
        <v>3</v>
      </c>
      <c r="U35">
        <v>10.5</v>
      </c>
      <c r="V35">
        <v>7.5</v>
      </c>
      <c r="W35">
        <v>21.75</v>
      </c>
      <c r="X35">
        <v>1</v>
      </c>
      <c r="Y35">
        <v>1</v>
      </c>
    </row>
    <row r="36" spans="1:25">
      <c r="A36">
        <v>26</v>
      </c>
      <c r="B36" s="2">
        <v>45433.150177951393</v>
      </c>
      <c r="C36" s="2">
        <v>45401.104306640627</v>
      </c>
      <c r="D36" s="2">
        <v>45465.196049262151</v>
      </c>
      <c r="E36">
        <v>7</v>
      </c>
      <c r="F36">
        <v>16</v>
      </c>
      <c r="G36">
        <v>2</v>
      </c>
      <c r="H36">
        <v>0.36399999999999999</v>
      </c>
      <c r="I36">
        <v>0.53100000000000003</v>
      </c>
      <c r="J36">
        <v>0.13200000000000001</v>
      </c>
      <c r="K36">
        <v>6.7510000000000003</v>
      </c>
      <c r="L36">
        <v>2.6669999999999998</v>
      </c>
      <c r="M36">
        <v>9</v>
      </c>
      <c r="N36">
        <v>128.571</v>
      </c>
      <c r="O36">
        <v>1</v>
      </c>
      <c r="P36">
        <v>14</v>
      </c>
      <c r="Q36">
        <v>87.5</v>
      </c>
      <c r="R36">
        <v>1</v>
      </c>
      <c r="S36" t="b">
        <v>0</v>
      </c>
      <c r="T36">
        <v>3</v>
      </c>
      <c r="U36">
        <v>10.5</v>
      </c>
      <c r="V36">
        <v>7.5</v>
      </c>
      <c r="W36">
        <v>21.75</v>
      </c>
      <c r="X36">
        <v>1</v>
      </c>
      <c r="Y36">
        <v>2</v>
      </c>
    </row>
    <row r="37" spans="1:25">
      <c r="A37">
        <v>26</v>
      </c>
      <c r="B37" s="2">
        <v>45689.517148437502</v>
      </c>
      <c r="C37" s="2">
        <v>45657.471277126737</v>
      </c>
      <c r="D37" s="2">
        <v>45721.563019748261</v>
      </c>
      <c r="E37">
        <v>8</v>
      </c>
      <c r="F37">
        <v>16</v>
      </c>
      <c r="G37">
        <v>3</v>
      </c>
      <c r="H37">
        <v>0.217</v>
      </c>
      <c r="I37">
        <v>0.57299999999999995</v>
      </c>
      <c r="J37">
        <v>0.58399999999999996</v>
      </c>
      <c r="K37">
        <v>6.7510000000000003</v>
      </c>
      <c r="L37">
        <v>2.6669999999999998</v>
      </c>
      <c r="M37">
        <v>8</v>
      </c>
      <c r="N37">
        <v>100</v>
      </c>
      <c r="O37">
        <v>1</v>
      </c>
      <c r="P37">
        <v>13</v>
      </c>
      <c r="Q37">
        <v>81.25</v>
      </c>
      <c r="R37">
        <v>1</v>
      </c>
      <c r="S37" t="b">
        <v>0</v>
      </c>
      <c r="T37">
        <v>3</v>
      </c>
      <c r="U37">
        <v>10.5</v>
      </c>
      <c r="V37">
        <v>7.5</v>
      </c>
      <c r="W37">
        <v>21.75</v>
      </c>
      <c r="X37">
        <v>1</v>
      </c>
      <c r="Y37">
        <v>3</v>
      </c>
    </row>
    <row r="38" spans="1:25">
      <c r="A38">
        <v>28</v>
      </c>
      <c r="B38" s="2">
        <v>45208.829078776042</v>
      </c>
      <c r="C38" s="2">
        <v>45144.737336154511</v>
      </c>
      <c r="D38" s="2">
        <v>45240.874950086807</v>
      </c>
      <c r="E38">
        <v>2</v>
      </c>
      <c r="F38">
        <v>23</v>
      </c>
      <c r="G38">
        <v>4</v>
      </c>
      <c r="H38">
        <v>0.24399999999999999</v>
      </c>
      <c r="I38">
        <v>0.56699999999999995</v>
      </c>
      <c r="J38">
        <v>0.20300000000000001</v>
      </c>
      <c r="K38">
        <v>10.648</v>
      </c>
      <c r="L38">
        <v>4.1820000000000004</v>
      </c>
      <c r="M38">
        <v>21</v>
      </c>
      <c r="N38">
        <v>1050</v>
      </c>
      <c r="O38">
        <v>2</v>
      </c>
      <c r="P38">
        <v>19</v>
      </c>
      <c r="Q38">
        <v>82.608999999999995</v>
      </c>
      <c r="R38">
        <v>1</v>
      </c>
      <c r="S38" t="b">
        <v>1</v>
      </c>
      <c r="T38">
        <v>3</v>
      </c>
      <c r="U38">
        <v>9.75</v>
      </c>
      <c r="V38">
        <v>6.75</v>
      </c>
      <c r="W38">
        <v>19.875</v>
      </c>
      <c r="X38">
        <v>1</v>
      </c>
      <c r="Y38">
        <v>1</v>
      </c>
    </row>
    <row r="39" spans="1:25">
      <c r="A39">
        <v>28</v>
      </c>
      <c r="B39" s="2">
        <v>45689.517148437502</v>
      </c>
      <c r="C39" s="2">
        <v>45625.425405815971</v>
      </c>
      <c r="D39" s="2">
        <v>45753.608891059033</v>
      </c>
      <c r="E39">
        <v>2</v>
      </c>
      <c r="F39">
        <v>23</v>
      </c>
      <c r="G39">
        <v>3</v>
      </c>
      <c r="H39">
        <v>0.16700000000000001</v>
      </c>
      <c r="I39">
        <v>0.82399999999999995</v>
      </c>
      <c r="J39">
        <v>0.13700000000000001</v>
      </c>
      <c r="K39">
        <v>10.648</v>
      </c>
      <c r="L39">
        <v>4.1820000000000004</v>
      </c>
      <c r="M39">
        <v>21</v>
      </c>
      <c r="N39">
        <v>1050</v>
      </c>
      <c r="O39">
        <v>2</v>
      </c>
      <c r="P39">
        <v>20</v>
      </c>
      <c r="Q39">
        <v>86.956999999999994</v>
      </c>
      <c r="R39">
        <v>2</v>
      </c>
      <c r="S39" t="b">
        <v>1</v>
      </c>
      <c r="T39">
        <v>3</v>
      </c>
      <c r="U39">
        <v>9.75</v>
      </c>
      <c r="V39">
        <v>6.75</v>
      </c>
      <c r="W39">
        <v>19.875</v>
      </c>
      <c r="X39">
        <v>1</v>
      </c>
      <c r="Y39">
        <v>2</v>
      </c>
    </row>
    <row r="40" spans="1:25">
      <c r="A40">
        <v>28</v>
      </c>
      <c r="B40" s="2">
        <v>45785.654762369792</v>
      </c>
      <c r="C40" s="2">
        <v>45753.608891059033</v>
      </c>
      <c r="D40" s="2">
        <v>45817.700633680557</v>
      </c>
      <c r="E40">
        <v>3</v>
      </c>
      <c r="F40">
        <v>14</v>
      </c>
      <c r="G40">
        <v>4</v>
      </c>
      <c r="H40">
        <v>0.13700000000000001</v>
      </c>
      <c r="I40">
        <v>1.095</v>
      </c>
      <c r="J40">
        <v>0.57999999999999996</v>
      </c>
      <c r="K40">
        <v>6.4809999999999999</v>
      </c>
      <c r="L40">
        <v>2.5449999999999999</v>
      </c>
      <c r="M40">
        <v>11</v>
      </c>
      <c r="N40">
        <v>366.66699999999997</v>
      </c>
      <c r="O40">
        <v>1</v>
      </c>
      <c r="P40">
        <v>10</v>
      </c>
      <c r="Q40">
        <v>71.429000000000002</v>
      </c>
      <c r="R40">
        <v>1</v>
      </c>
      <c r="S40" t="b">
        <v>0</v>
      </c>
      <c r="T40">
        <v>3</v>
      </c>
      <c r="U40">
        <v>9.75</v>
      </c>
      <c r="V40">
        <v>6.75</v>
      </c>
      <c r="W40">
        <v>19.875</v>
      </c>
      <c r="X40">
        <v>1</v>
      </c>
      <c r="Y40">
        <v>3</v>
      </c>
    </row>
    <row r="41" spans="1:25">
      <c r="A41">
        <v>30</v>
      </c>
      <c r="B41" s="2">
        <v>45240.874950086807</v>
      </c>
      <c r="C41" s="2">
        <v>45144.737336154511</v>
      </c>
      <c r="D41" s="2">
        <v>45272.920821397573</v>
      </c>
      <c r="E41">
        <v>3</v>
      </c>
      <c r="F41">
        <v>17</v>
      </c>
      <c r="G41">
        <v>8</v>
      </c>
      <c r="H41">
        <v>0.36699999999999999</v>
      </c>
      <c r="I41">
        <v>0.86499999999999999</v>
      </c>
      <c r="J41">
        <v>0.58699999999999997</v>
      </c>
      <c r="K41">
        <v>8.6289999999999996</v>
      </c>
      <c r="L41">
        <v>3.4</v>
      </c>
      <c r="M41">
        <v>14</v>
      </c>
      <c r="N41">
        <v>466.66699999999997</v>
      </c>
      <c r="O41">
        <v>3</v>
      </c>
      <c r="P41">
        <v>9</v>
      </c>
      <c r="Q41">
        <v>52.941000000000003</v>
      </c>
      <c r="R41">
        <v>1</v>
      </c>
      <c r="S41" t="b">
        <v>1</v>
      </c>
      <c r="T41">
        <v>4</v>
      </c>
      <c r="U41">
        <v>7</v>
      </c>
      <c r="V41">
        <v>3</v>
      </c>
      <c r="W41">
        <v>11.5</v>
      </c>
      <c r="X41">
        <v>2</v>
      </c>
      <c r="Y41">
        <v>1</v>
      </c>
    </row>
    <row r="42" spans="1:25">
      <c r="A42">
        <v>30</v>
      </c>
      <c r="B42" s="2">
        <v>45657.471277126737</v>
      </c>
      <c r="C42" s="2">
        <v>45593.379534505213</v>
      </c>
      <c r="D42" s="2">
        <v>45721.563019748261</v>
      </c>
      <c r="E42">
        <v>3</v>
      </c>
      <c r="F42">
        <v>17</v>
      </c>
      <c r="G42">
        <v>2</v>
      </c>
      <c r="H42">
        <v>0.38400000000000001</v>
      </c>
      <c r="I42">
        <v>0.46100000000000002</v>
      </c>
      <c r="J42">
        <v>0.38900000000000001</v>
      </c>
      <c r="K42">
        <v>8.6289999999999996</v>
      </c>
      <c r="L42">
        <v>3.4</v>
      </c>
      <c r="M42">
        <v>14</v>
      </c>
      <c r="N42">
        <v>466.66699999999997</v>
      </c>
      <c r="O42">
        <v>2</v>
      </c>
      <c r="P42">
        <v>15</v>
      </c>
      <c r="Q42">
        <v>88.234999999999999</v>
      </c>
      <c r="R42">
        <v>2</v>
      </c>
      <c r="S42" t="b">
        <v>1</v>
      </c>
      <c r="T42">
        <v>4</v>
      </c>
      <c r="U42">
        <v>7</v>
      </c>
      <c r="V42">
        <v>3</v>
      </c>
      <c r="W42">
        <v>11.5</v>
      </c>
      <c r="X42">
        <v>1</v>
      </c>
      <c r="Y42">
        <v>2</v>
      </c>
    </row>
    <row r="43" spans="1:25">
      <c r="A43">
        <v>30</v>
      </c>
      <c r="B43" s="2">
        <v>45337.012564019104</v>
      </c>
      <c r="C43" s="2">
        <v>45272.920821397573</v>
      </c>
      <c r="D43" s="2">
        <v>45369.058435329862</v>
      </c>
      <c r="E43">
        <v>8</v>
      </c>
      <c r="F43">
        <v>13</v>
      </c>
      <c r="G43">
        <v>5</v>
      </c>
      <c r="H43">
        <v>0.58699999999999997</v>
      </c>
      <c r="I43">
        <v>0.82399999999999995</v>
      </c>
      <c r="J43">
        <v>0.48399999999999999</v>
      </c>
      <c r="K43">
        <v>6.5990000000000002</v>
      </c>
      <c r="L43">
        <v>2.6</v>
      </c>
      <c r="M43">
        <v>5</v>
      </c>
      <c r="N43">
        <v>62.5</v>
      </c>
      <c r="O43">
        <v>2</v>
      </c>
      <c r="P43">
        <v>8</v>
      </c>
      <c r="Q43">
        <v>61.537999999999997</v>
      </c>
      <c r="R43">
        <v>1</v>
      </c>
      <c r="S43" t="b">
        <v>1</v>
      </c>
      <c r="T43">
        <v>4</v>
      </c>
      <c r="U43">
        <v>7</v>
      </c>
      <c r="V43">
        <v>3</v>
      </c>
      <c r="W43">
        <v>11.5</v>
      </c>
      <c r="X43">
        <v>1</v>
      </c>
      <c r="Y43">
        <v>3</v>
      </c>
    </row>
    <row r="44" spans="1:25">
      <c r="A44">
        <v>35</v>
      </c>
      <c r="B44" s="2">
        <v>45657.471277126737</v>
      </c>
      <c r="C44" s="2">
        <v>45561.333663194448</v>
      </c>
      <c r="D44" s="2">
        <v>45881.792376302081</v>
      </c>
      <c r="E44">
        <v>1</v>
      </c>
      <c r="F44">
        <v>90</v>
      </c>
      <c r="G44">
        <v>1</v>
      </c>
      <c r="H44">
        <v>8.7999999999999995E-2</v>
      </c>
      <c r="I44">
        <v>2.4409999999999998</v>
      </c>
      <c r="J44">
        <v>8.6999999999999994E-2</v>
      </c>
      <c r="K44">
        <v>54.545000000000002</v>
      </c>
      <c r="L44">
        <v>45</v>
      </c>
      <c r="M44">
        <v>89</v>
      </c>
      <c r="N44">
        <v>8900</v>
      </c>
      <c r="O44">
        <v>2</v>
      </c>
      <c r="P44">
        <v>89</v>
      </c>
      <c r="Q44">
        <v>98.888999999999996</v>
      </c>
      <c r="R44">
        <v>5</v>
      </c>
      <c r="S44" t="b">
        <v>1</v>
      </c>
      <c r="T44">
        <v>1</v>
      </c>
      <c r="U44">
        <v>4.25</v>
      </c>
      <c r="V44">
        <v>3.25</v>
      </c>
      <c r="W44">
        <v>9.125</v>
      </c>
      <c r="X44">
        <v>3</v>
      </c>
      <c r="Y44">
        <v>1</v>
      </c>
    </row>
    <row r="45" spans="1:25">
      <c r="A45">
        <v>35</v>
      </c>
      <c r="B45" s="2">
        <v>45529.287791883682</v>
      </c>
      <c r="C45" s="2">
        <v>45497.241920572917</v>
      </c>
      <c r="D45" s="2">
        <v>45561.333663194448</v>
      </c>
      <c r="E45">
        <v>1</v>
      </c>
      <c r="F45">
        <v>7</v>
      </c>
      <c r="G45">
        <v>1</v>
      </c>
      <c r="H45">
        <v>7.0999999999999994E-2</v>
      </c>
      <c r="I45">
        <v>0.63900000000000001</v>
      </c>
      <c r="J45">
        <v>8.7999999999999995E-2</v>
      </c>
      <c r="K45">
        <v>4.242</v>
      </c>
      <c r="L45">
        <v>3.5</v>
      </c>
      <c r="M45">
        <v>6</v>
      </c>
      <c r="N45">
        <v>600</v>
      </c>
      <c r="O45">
        <v>1</v>
      </c>
      <c r="P45">
        <v>6</v>
      </c>
      <c r="Q45">
        <v>85.713999999999999</v>
      </c>
      <c r="R45">
        <v>1</v>
      </c>
      <c r="S45" t="b">
        <v>0</v>
      </c>
      <c r="T45">
        <v>1</v>
      </c>
      <c r="U45">
        <v>4.25</v>
      </c>
      <c r="V45">
        <v>3.25</v>
      </c>
      <c r="W45">
        <v>9.125</v>
      </c>
      <c r="X45">
        <v>1</v>
      </c>
      <c r="Y45">
        <v>2</v>
      </c>
    </row>
    <row r="46" spans="1:25">
      <c r="A46">
        <v>35</v>
      </c>
      <c r="B46" s="2">
        <v>45913.838247612854</v>
      </c>
      <c r="C46" s="2">
        <v>45881.792376302081</v>
      </c>
      <c r="D46" s="2">
        <v>45945.884118923612</v>
      </c>
      <c r="E46">
        <v>1</v>
      </c>
      <c r="F46">
        <v>5</v>
      </c>
      <c r="G46">
        <v>1</v>
      </c>
      <c r="H46">
        <v>8.6999999999999994E-2</v>
      </c>
      <c r="I46">
        <v>0.92800000000000005</v>
      </c>
      <c r="J46">
        <v>0.19400000000000001</v>
      </c>
      <c r="K46">
        <v>3.03</v>
      </c>
      <c r="L46">
        <v>2.5</v>
      </c>
      <c r="M46">
        <v>4</v>
      </c>
      <c r="N46">
        <v>400</v>
      </c>
      <c r="O46">
        <v>1</v>
      </c>
      <c r="P46">
        <v>4</v>
      </c>
      <c r="Q46">
        <v>80</v>
      </c>
      <c r="R46">
        <v>1</v>
      </c>
      <c r="S46" t="b">
        <v>0</v>
      </c>
      <c r="T46">
        <v>1</v>
      </c>
      <c r="U46">
        <v>4.25</v>
      </c>
      <c r="V46">
        <v>3.25</v>
      </c>
      <c r="W46">
        <v>9.125</v>
      </c>
      <c r="X46">
        <v>1</v>
      </c>
      <c r="Y46">
        <v>3</v>
      </c>
    </row>
    <row r="47" spans="1:25">
      <c r="A47">
        <v>38</v>
      </c>
      <c r="B47" s="2">
        <v>45433.150177951393</v>
      </c>
      <c r="C47" s="2">
        <v>45369.058435329862</v>
      </c>
      <c r="D47" s="2">
        <v>45465.196049262151</v>
      </c>
      <c r="E47">
        <v>2</v>
      </c>
      <c r="F47">
        <v>32</v>
      </c>
      <c r="G47">
        <v>3</v>
      </c>
      <c r="H47">
        <v>0.19400000000000001</v>
      </c>
      <c r="I47">
        <v>1.0609999999999999</v>
      </c>
      <c r="J47">
        <v>0.19700000000000001</v>
      </c>
      <c r="K47">
        <v>23.704000000000001</v>
      </c>
      <c r="L47">
        <v>16</v>
      </c>
      <c r="M47">
        <v>30</v>
      </c>
      <c r="N47">
        <v>1500</v>
      </c>
      <c r="O47">
        <v>1</v>
      </c>
      <c r="P47">
        <v>29</v>
      </c>
      <c r="Q47">
        <v>90.625</v>
      </c>
      <c r="R47">
        <v>1</v>
      </c>
      <c r="S47" t="b">
        <v>1</v>
      </c>
      <c r="T47">
        <v>2</v>
      </c>
      <c r="U47">
        <v>8</v>
      </c>
      <c r="V47">
        <v>6</v>
      </c>
      <c r="W47">
        <v>17</v>
      </c>
      <c r="X47">
        <v>1</v>
      </c>
      <c r="Y47">
        <v>1</v>
      </c>
    </row>
    <row r="48" spans="1:25">
      <c r="A48">
        <v>38</v>
      </c>
      <c r="B48" s="2">
        <v>45657.471277126737</v>
      </c>
      <c r="C48" s="2">
        <v>45625.425405815971</v>
      </c>
      <c r="D48" s="2">
        <v>45721.563019748261</v>
      </c>
      <c r="E48">
        <v>1</v>
      </c>
      <c r="F48">
        <v>19</v>
      </c>
      <c r="G48">
        <v>2</v>
      </c>
      <c r="H48">
        <v>8.3000000000000004E-2</v>
      </c>
      <c r="I48">
        <v>0.51500000000000001</v>
      </c>
      <c r="J48">
        <v>0.38900000000000001</v>
      </c>
      <c r="K48">
        <v>14.074</v>
      </c>
      <c r="L48">
        <v>9.5</v>
      </c>
      <c r="M48">
        <v>18</v>
      </c>
      <c r="N48">
        <v>1800</v>
      </c>
      <c r="O48">
        <v>1</v>
      </c>
      <c r="P48">
        <v>17</v>
      </c>
      <c r="Q48">
        <v>89.474000000000004</v>
      </c>
      <c r="R48">
        <v>2</v>
      </c>
      <c r="S48" t="b">
        <v>1</v>
      </c>
      <c r="T48">
        <v>2</v>
      </c>
      <c r="U48">
        <v>8</v>
      </c>
      <c r="V48">
        <v>6</v>
      </c>
      <c r="W48">
        <v>17</v>
      </c>
      <c r="X48">
        <v>1</v>
      </c>
      <c r="Y48">
        <v>2</v>
      </c>
    </row>
    <row r="49" spans="1:25">
      <c r="A49">
        <v>38</v>
      </c>
      <c r="B49" s="2">
        <v>45529.287791883682</v>
      </c>
      <c r="C49" s="2">
        <v>45465.196049262151</v>
      </c>
      <c r="D49" s="2">
        <v>45593.379534505213</v>
      </c>
      <c r="E49">
        <v>3</v>
      </c>
      <c r="F49">
        <v>11</v>
      </c>
      <c r="G49">
        <v>1</v>
      </c>
      <c r="H49">
        <v>0.19700000000000001</v>
      </c>
      <c r="I49">
        <v>1.0049999999999999</v>
      </c>
      <c r="J49">
        <v>0.128</v>
      </c>
      <c r="K49">
        <v>8.1479999999999997</v>
      </c>
      <c r="L49">
        <v>5.5</v>
      </c>
      <c r="M49">
        <v>8</v>
      </c>
      <c r="N49">
        <v>266.66699999999997</v>
      </c>
      <c r="O49">
        <v>2</v>
      </c>
      <c r="P49">
        <v>10</v>
      </c>
      <c r="Q49">
        <v>90.909000000000006</v>
      </c>
      <c r="R49">
        <v>1</v>
      </c>
      <c r="S49" t="b">
        <v>0</v>
      </c>
      <c r="T49">
        <v>2</v>
      </c>
      <c r="U49">
        <v>8</v>
      </c>
      <c r="V49">
        <v>6</v>
      </c>
      <c r="W49">
        <v>17</v>
      </c>
      <c r="X49">
        <v>1</v>
      </c>
      <c r="Y49">
        <v>3</v>
      </c>
    </row>
    <row r="50" spans="1:25">
      <c r="A50">
        <v>40</v>
      </c>
      <c r="B50" s="2">
        <v>45304.966692708331</v>
      </c>
      <c r="C50" s="2">
        <v>45240.874950086807</v>
      </c>
      <c r="D50" s="2">
        <v>45369.058435329862</v>
      </c>
      <c r="E50">
        <v>3</v>
      </c>
      <c r="F50">
        <v>10</v>
      </c>
      <c r="G50">
        <v>1</v>
      </c>
      <c r="H50">
        <v>0.153</v>
      </c>
      <c r="I50">
        <v>0.38300000000000001</v>
      </c>
      <c r="J50">
        <v>9.7000000000000003E-2</v>
      </c>
      <c r="K50">
        <v>7.7519999999999998</v>
      </c>
      <c r="L50">
        <v>2.5</v>
      </c>
      <c r="M50">
        <v>7</v>
      </c>
      <c r="N50">
        <v>233.333</v>
      </c>
      <c r="O50">
        <v>2</v>
      </c>
      <c r="P50">
        <v>9</v>
      </c>
      <c r="Q50">
        <v>90</v>
      </c>
      <c r="R50">
        <v>2</v>
      </c>
      <c r="S50" t="b">
        <v>1</v>
      </c>
      <c r="T50">
        <v>2</v>
      </c>
      <c r="U50">
        <v>5</v>
      </c>
      <c r="V50">
        <v>3</v>
      </c>
      <c r="W50">
        <v>9.5</v>
      </c>
      <c r="X50">
        <v>1</v>
      </c>
      <c r="Y50">
        <v>1</v>
      </c>
    </row>
    <row r="51" spans="1:25">
      <c r="A51">
        <v>40</v>
      </c>
      <c r="B51" s="2">
        <v>45433.150177951393</v>
      </c>
      <c r="C51" s="2">
        <v>45369.058435329862</v>
      </c>
      <c r="D51" s="2">
        <v>45529.287791883682</v>
      </c>
      <c r="E51">
        <v>1</v>
      </c>
      <c r="F51">
        <v>10</v>
      </c>
      <c r="G51">
        <v>1</v>
      </c>
      <c r="H51">
        <v>9.7000000000000003E-2</v>
      </c>
      <c r="I51">
        <v>0.33200000000000002</v>
      </c>
      <c r="J51">
        <v>9.0999999999999998E-2</v>
      </c>
      <c r="K51">
        <v>7.7519999999999998</v>
      </c>
      <c r="L51">
        <v>2.5</v>
      </c>
      <c r="M51">
        <v>9</v>
      </c>
      <c r="N51">
        <v>900</v>
      </c>
      <c r="O51">
        <v>2</v>
      </c>
      <c r="P51">
        <v>9</v>
      </c>
      <c r="Q51">
        <v>90</v>
      </c>
      <c r="R51">
        <v>3</v>
      </c>
      <c r="S51" t="b">
        <v>1</v>
      </c>
      <c r="T51">
        <v>2</v>
      </c>
      <c r="U51">
        <v>5</v>
      </c>
      <c r="V51">
        <v>3</v>
      </c>
      <c r="W51">
        <v>9.5</v>
      </c>
      <c r="X51">
        <v>1</v>
      </c>
      <c r="Y51">
        <v>2</v>
      </c>
    </row>
    <row r="52" spans="1:25">
      <c r="A52">
        <v>40</v>
      </c>
      <c r="B52" s="2">
        <v>45657.471277126737</v>
      </c>
      <c r="C52" s="2">
        <v>45625.425405815971</v>
      </c>
      <c r="D52" s="2">
        <v>45689.517148437502</v>
      </c>
      <c r="E52">
        <v>2</v>
      </c>
      <c r="F52">
        <v>10</v>
      </c>
      <c r="G52">
        <v>3</v>
      </c>
      <c r="H52">
        <v>0.16700000000000001</v>
      </c>
      <c r="I52">
        <v>0.27100000000000002</v>
      </c>
      <c r="J52">
        <v>0.107</v>
      </c>
      <c r="K52">
        <v>7.7519999999999998</v>
      </c>
      <c r="L52">
        <v>2.5</v>
      </c>
      <c r="M52">
        <v>8</v>
      </c>
      <c r="N52">
        <v>400</v>
      </c>
      <c r="O52">
        <v>1</v>
      </c>
      <c r="P52">
        <v>7</v>
      </c>
      <c r="Q52">
        <v>70</v>
      </c>
      <c r="R52">
        <v>1</v>
      </c>
      <c r="S52" t="b">
        <v>1</v>
      </c>
      <c r="T52">
        <v>2</v>
      </c>
      <c r="U52">
        <v>5</v>
      </c>
      <c r="V52">
        <v>3</v>
      </c>
      <c r="W52">
        <v>9.5</v>
      </c>
      <c r="X52">
        <v>1</v>
      </c>
      <c r="Y52">
        <v>3</v>
      </c>
    </row>
    <row r="53" spans="1:25">
      <c r="A53">
        <v>41</v>
      </c>
      <c r="B53" s="2">
        <v>45433.150177951393</v>
      </c>
      <c r="C53" s="2">
        <v>45369.058435329862</v>
      </c>
      <c r="D53" s="2">
        <v>45497.241920572917</v>
      </c>
      <c r="E53">
        <v>3</v>
      </c>
      <c r="F53">
        <v>24</v>
      </c>
      <c r="G53">
        <v>2</v>
      </c>
      <c r="H53">
        <v>0.29099999999999998</v>
      </c>
      <c r="I53">
        <v>0.79600000000000004</v>
      </c>
      <c r="J53">
        <v>0.14299999999999999</v>
      </c>
      <c r="K53">
        <v>19.2</v>
      </c>
      <c r="L53">
        <v>6</v>
      </c>
      <c r="M53">
        <v>21</v>
      </c>
      <c r="N53">
        <v>700</v>
      </c>
      <c r="O53">
        <v>2</v>
      </c>
      <c r="P53">
        <v>22</v>
      </c>
      <c r="Q53">
        <v>91.667000000000002</v>
      </c>
      <c r="R53">
        <v>2</v>
      </c>
      <c r="S53" t="b">
        <v>1</v>
      </c>
      <c r="T53">
        <v>1.75</v>
      </c>
      <c r="U53">
        <v>7</v>
      </c>
      <c r="V53">
        <v>5.25</v>
      </c>
      <c r="W53">
        <v>14.875</v>
      </c>
      <c r="X53">
        <v>1</v>
      </c>
      <c r="Y53">
        <v>1</v>
      </c>
    </row>
    <row r="54" spans="1:25">
      <c r="A54">
        <v>41</v>
      </c>
      <c r="B54" s="2">
        <v>45753.608891059033</v>
      </c>
      <c r="C54" s="2">
        <v>45657.471277126737</v>
      </c>
      <c r="D54" s="2">
        <v>45849.746504991323</v>
      </c>
      <c r="E54">
        <v>4</v>
      </c>
      <c r="F54">
        <v>15</v>
      </c>
      <c r="G54">
        <v>1</v>
      </c>
      <c r="H54">
        <v>0.108</v>
      </c>
      <c r="I54">
        <v>0.68300000000000005</v>
      </c>
      <c r="J54">
        <v>0.114</v>
      </c>
      <c r="K54">
        <v>12</v>
      </c>
      <c r="L54">
        <v>3.75</v>
      </c>
      <c r="M54">
        <v>11</v>
      </c>
      <c r="N54">
        <v>275</v>
      </c>
      <c r="O54">
        <v>2</v>
      </c>
      <c r="P54">
        <v>14</v>
      </c>
      <c r="Q54">
        <v>93.332999999999998</v>
      </c>
      <c r="R54">
        <v>2</v>
      </c>
      <c r="S54" t="b">
        <v>1</v>
      </c>
      <c r="T54">
        <v>1.75</v>
      </c>
      <c r="U54">
        <v>7</v>
      </c>
      <c r="V54">
        <v>5.25</v>
      </c>
      <c r="W54">
        <v>14.875</v>
      </c>
      <c r="X54">
        <v>1</v>
      </c>
      <c r="Y54">
        <v>2</v>
      </c>
    </row>
    <row r="55" spans="1:25">
      <c r="A55">
        <v>41</v>
      </c>
      <c r="B55" s="2">
        <v>45080.645593532987</v>
      </c>
      <c r="C55" s="2">
        <v>45047.574254340281</v>
      </c>
      <c r="D55" s="2">
        <v>45112.691464843752</v>
      </c>
      <c r="E55">
        <v>1</v>
      </c>
      <c r="F55">
        <v>10</v>
      </c>
      <c r="G55">
        <v>1</v>
      </c>
      <c r="H55">
        <v>0.16400000000000001</v>
      </c>
      <c r="I55">
        <v>0.60099999999999998</v>
      </c>
      <c r="J55">
        <v>0.09</v>
      </c>
      <c r="K55">
        <v>8</v>
      </c>
      <c r="L55">
        <v>2.5</v>
      </c>
      <c r="M55">
        <v>9</v>
      </c>
      <c r="N55">
        <v>900</v>
      </c>
      <c r="O55">
        <v>1</v>
      </c>
      <c r="P55">
        <v>9</v>
      </c>
      <c r="Q55">
        <v>90</v>
      </c>
      <c r="R55">
        <v>1</v>
      </c>
      <c r="S55" t="b">
        <v>0</v>
      </c>
      <c r="T55">
        <v>1.75</v>
      </c>
      <c r="U55">
        <v>7</v>
      </c>
      <c r="V55">
        <v>5.25</v>
      </c>
      <c r="W55">
        <v>14.875</v>
      </c>
      <c r="X55">
        <v>1</v>
      </c>
      <c r="Y55">
        <v>3</v>
      </c>
    </row>
    <row r="56" spans="1:25">
      <c r="A56">
        <v>42</v>
      </c>
      <c r="B56" s="2">
        <v>45753.608891059033</v>
      </c>
      <c r="C56" s="2">
        <v>45625.425405815971</v>
      </c>
      <c r="D56" s="2">
        <v>45785.654762369792</v>
      </c>
      <c r="E56">
        <v>2</v>
      </c>
      <c r="F56">
        <v>18</v>
      </c>
      <c r="G56">
        <v>2</v>
      </c>
      <c r="H56">
        <v>0.16700000000000001</v>
      </c>
      <c r="I56">
        <v>0.82</v>
      </c>
      <c r="J56">
        <v>0.156</v>
      </c>
      <c r="K56">
        <v>15.516999999999999</v>
      </c>
      <c r="L56">
        <v>4</v>
      </c>
      <c r="M56">
        <v>16</v>
      </c>
      <c r="N56">
        <v>800</v>
      </c>
      <c r="O56">
        <v>3</v>
      </c>
      <c r="P56">
        <v>16</v>
      </c>
      <c r="Q56">
        <v>88.888999999999996</v>
      </c>
      <c r="R56">
        <v>1</v>
      </c>
      <c r="S56" t="b">
        <v>1</v>
      </c>
      <c r="T56">
        <v>2</v>
      </c>
      <c r="U56">
        <v>5.25</v>
      </c>
      <c r="V56">
        <v>3.25</v>
      </c>
      <c r="W56">
        <v>10.125</v>
      </c>
      <c r="X56">
        <v>2</v>
      </c>
      <c r="Y56">
        <v>1</v>
      </c>
    </row>
    <row r="57" spans="1:25">
      <c r="A57">
        <v>42</v>
      </c>
      <c r="B57" s="2">
        <v>45561.333663194448</v>
      </c>
      <c r="C57" s="2">
        <v>45529.287791883682</v>
      </c>
      <c r="D57" s="2">
        <v>45593.379534505213</v>
      </c>
      <c r="E57">
        <v>2</v>
      </c>
      <c r="F57">
        <v>12</v>
      </c>
      <c r="G57">
        <v>2</v>
      </c>
      <c r="H57">
        <v>0.183</v>
      </c>
      <c r="I57">
        <v>1.052</v>
      </c>
      <c r="J57">
        <v>0.25600000000000001</v>
      </c>
      <c r="K57">
        <v>10.345000000000001</v>
      </c>
      <c r="L57">
        <v>2.6669999999999998</v>
      </c>
      <c r="M57">
        <v>10</v>
      </c>
      <c r="N57">
        <v>500</v>
      </c>
      <c r="O57">
        <v>1</v>
      </c>
      <c r="P57">
        <v>10</v>
      </c>
      <c r="Q57">
        <v>83.332999999999998</v>
      </c>
      <c r="R57">
        <v>1</v>
      </c>
      <c r="S57" t="b">
        <v>1</v>
      </c>
      <c r="T57">
        <v>2</v>
      </c>
      <c r="U57">
        <v>5.25</v>
      </c>
      <c r="V57">
        <v>3.25</v>
      </c>
      <c r="W57">
        <v>10.125</v>
      </c>
      <c r="X57">
        <v>1</v>
      </c>
      <c r="Y57">
        <v>2</v>
      </c>
    </row>
    <row r="58" spans="1:25">
      <c r="A58">
        <v>42</v>
      </c>
      <c r="B58" s="2">
        <v>45176.783207465283</v>
      </c>
      <c r="C58" s="2">
        <v>45144.737336154511</v>
      </c>
      <c r="D58" s="2">
        <v>45208.829078776042</v>
      </c>
      <c r="E58">
        <v>2</v>
      </c>
      <c r="F58">
        <v>9</v>
      </c>
      <c r="G58">
        <v>4</v>
      </c>
      <c r="H58">
        <v>0.24399999999999999</v>
      </c>
      <c r="I58">
        <v>0.61599999999999999</v>
      </c>
      <c r="J58">
        <v>9.9000000000000005E-2</v>
      </c>
      <c r="K58">
        <v>7.7590000000000003</v>
      </c>
      <c r="L58">
        <v>2</v>
      </c>
      <c r="M58">
        <v>7</v>
      </c>
      <c r="N58">
        <v>350</v>
      </c>
      <c r="O58">
        <v>1</v>
      </c>
      <c r="P58">
        <v>5</v>
      </c>
      <c r="Q58">
        <v>55.555999999999997</v>
      </c>
      <c r="R58">
        <v>1</v>
      </c>
      <c r="S58" t="b">
        <v>0</v>
      </c>
      <c r="T58">
        <v>2</v>
      </c>
      <c r="U58">
        <v>5.25</v>
      </c>
      <c r="V58">
        <v>3.25</v>
      </c>
      <c r="W58">
        <v>10.125</v>
      </c>
      <c r="X58">
        <v>1</v>
      </c>
      <c r="Y58">
        <v>3</v>
      </c>
    </row>
    <row r="59" spans="1:25">
      <c r="A59">
        <v>43</v>
      </c>
      <c r="B59" s="2">
        <v>45144.737336154511</v>
      </c>
      <c r="C59" s="2">
        <v>45112.691464843752</v>
      </c>
      <c r="D59" s="2">
        <v>45176.783207465283</v>
      </c>
      <c r="E59">
        <v>1</v>
      </c>
      <c r="F59">
        <v>11</v>
      </c>
      <c r="G59">
        <v>8</v>
      </c>
      <c r="H59">
        <v>0.09</v>
      </c>
      <c r="I59">
        <v>1.345</v>
      </c>
      <c r="J59">
        <v>0.54700000000000004</v>
      </c>
      <c r="K59">
        <v>9.8209999999999997</v>
      </c>
      <c r="L59">
        <v>2.75</v>
      </c>
      <c r="M59">
        <v>10</v>
      </c>
      <c r="N59">
        <v>1000</v>
      </c>
      <c r="O59">
        <v>1</v>
      </c>
      <c r="P59">
        <v>3</v>
      </c>
      <c r="Q59">
        <v>27.273</v>
      </c>
      <c r="R59">
        <v>1</v>
      </c>
      <c r="S59" t="b">
        <v>0</v>
      </c>
      <c r="T59">
        <v>2</v>
      </c>
      <c r="U59">
        <v>6</v>
      </c>
      <c r="V59">
        <v>4</v>
      </c>
      <c r="W59">
        <v>12</v>
      </c>
      <c r="X59">
        <v>1</v>
      </c>
      <c r="Y59">
        <v>1</v>
      </c>
    </row>
    <row r="60" spans="1:25">
      <c r="A60">
        <v>43</v>
      </c>
      <c r="B60" s="2">
        <v>45401.104306640627</v>
      </c>
      <c r="C60" s="2">
        <v>45369.058435329862</v>
      </c>
      <c r="D60" s="2">
        <v>45465.196049262151</v>
      </c>
      <c r="E60">
        <v>4</v>
      </c>
      <c r="F60">
        <v>10</v>
      </c>
      <c r="G60">
        <v>5</v>
      </c>
      <c r="H60">
        <v>0.38800000000000001</v>
      </c>
      <c r="I60">
        <v>0.52</v>
      </c>
      <c r="J60">
        <v>0.32900000000000001</v>
      </c>
      <c r="K60">
        <v>8.9290000000000003</v>
      </c>
      <c r="L60">
        <v>2.5</v>
      </c>
      <c r="M60">
        <v>6</v>
      </c>
      <c r="N60">
        <v>150</v>
      </c>
      <c r="O60">
        <v>1</v>
      </c>
      <c r="P60">
        <v>5</v>
      </c>
      <c r="Q60">
        <v>50</v>
      </c>
      <c r="R60">
        <v>2</v>
      </c>
      <c r="S60" t="b">
        <v>0</v>
      </c>
      <c r="T60">
        <v>2</v>
      </c>
      <c r="U60">
        <v>6</v>
      </c>
      <c r="V60">
        <v>4</v>
      </c>
      <c r="W60">
        <v>12</v>
      </c>
      <c r="X60">
        <v>1</v>
      </c>
      <c r="Y60">
        <v>2</v>
      </c>
    </row>
    <row r="61" spans="1:25">
      <c r="A61">
        <v>43</v>
      </c>
      <c r="B61" s="2">
        <v>45080.645593532987</v>
      </c>
      <c r="C61" s="2">
        <v>45047.574254340281</v>
      </c>
      <c r="D61" s="2">
        <v>45112.691464843752</v>
      </c>
      <c r="E61">
        <v>3</v>
      </c>
      <c r="F61">
        <v>7</v>
      </c>
      <c r="G61">
        <v>1</v>
      </c>
      <c r="H61">
        <v>0.49099999999999999</v>
      </c>
      <c r="I61">
        <v>0.42099999999999999</v>
      </c>
      <c r="J61">
        <v>0.09</v>
      </c>
      <c r="K61">
        <v>6.25</v>
      </c>
      <c r="L61">
        <v>1.75</v>
      </c>
      <c r="M61">
        <v>4</v>
      </c>
      <c r="N61">
        <v>133.333</v>
      </c>
      <c r="O61">
        <v>1</v>
      </c>
      <c r="P61">
        <v>6</v>
      </c>
      <c r="Q61">
        <v>85.713999999999999</v>
      </c>
      <c r="R61">
        <v>1</v>
      </c>
      <c r="S61" t="b">
        <v>0</v>
      </c>
      <c r="T61">
        <v>2</v>
      </c>
      <c r="U61">
        <v>6</v>
      </c>
      <c r="V61">
        <v>4</v>
      </c>
      <c r="W61">
        <v>12</v>
      </c>
      <c r="X61">
        <v>1</v>
      </c>
      <c r="Y61">
        <v>3</v>
      </c>
    </row>
    <row r="62" spans="1:25">
      <c r="A62">
        <v>44</v>
      </c>
      <c r="B62" s="2">
        <v>45433.150177951393</v>
      </c>
      <c r="C62" s="2">
        <v>45272.920821397573</v>
      </c>
      <c r="D62" s="2">
        <v>45561.333663194448</v>
      </c>
      <c r="E62">
        <v>1</v>
      </c>
      <c r="F62">
        <v>25</v>
      </c>
      <c r="G62">
        <v>1</v>
      </c>
      <c r="H62">
        <v>7.2999999999999995E-2</v>
      </c>
      <c r="I62">
        <v>0.82899999999999996</v>
      </c>
      <c r="J62">
        <v>8.7999999999999995E-2</v>
      </c>
      <c r="K62">
        <v>22.321000000000002</v>
      </c>
      <c r="L62">
        <v>8.3330000000000002</v>
      </c>
      <c r="M62">
        <v>24</v>
      </c>
      <c r="N62">
        <v>2400</v>
      </c>
      <c r="O62">
        <v>4</v>
      </c>
      <c r="P62">
        <v>24</v>
      </c>
      <c r="Q62">
        <v>96</v>
      </c>
      <c r="R62">
        <v>3</v>
      </c>
      <c r="S62" t="b">
        <v>1</v>
      </c>
      <c r="T62">
        <v>2</v>
      </c>
      <c r="U62">
        <v>4.5</v>
      </c>
      <c r="V62">
        <v>2.5</v>
      </c>
      <c r="W62">
        <v>8.25</v>
      </c>
      <c r="X62">
        <v>1</v>
      </c>
      <c r="Y62">
        <v>1</v>
      </c>
    </row>
    <row r="63" spans="1:25">
      <c r="A63">
        <v>44</v>
      </c>
      <c r="B63" s="2">
        <v>45657.471277126737</v>
      </c>
      <c r="C63" s="2">
        <v>45625.425405815971</v>
      </c>
      <c r="D63" s="2">
        <v>45817.700633680557</v>
      </c>
      <c r="E63">
        <v>4</v>
      </c>
      <c r="F63">
        <v>12</v>
      </c>
      <c r="G63">
        <v>1</v>
      </c>
      <c r="H63">
        <v>0.33400000000000002</v>
      </c>
      <c r="I63">
        <v>0.32500000000000001</v>
      </c>
      <c r="J63">
        <v>0.14499999999999999</v>
      </c>
      <c r="K63">
        <v>10.714</v>
      </c>
      <c r="L63">
        <v>4</v>
      </c>
      <c r="M63">
        <v>8</v>
      </c>
      <c r="N63">
        <v>200</v>
      </c>
      <c r="O63">
        <v>1</v>
      </c>
      <c r="P63">
        <v>11</v>
      </c>
      <c r="Q63">
        <v>91.667000000000002</v>
      </c>
      <c r="R63">
        <v>3</v>
      </c>
      <c r="S63" t="b">
        <v>1</v>
      </c>
      <c r="T63">
        <v>2</v>
      </c>
      <c r="U63">
        <v>4.5</v>
      </c>
      <c r="V63">
        <v>2.5</v>
      </c>
      <c r="W63">
        <v>8.25</v>
      </c>
      <c r="X63">
        <v>1</v>
      </c>
      <c r="Y63">
        <v>2</v>
      </c>
    </row>
    <row r="64" spans="1:25">
      <c r="A64">
        <v>44</v>
      </c>
      <c r="B64" s="2">
        <v>45240.874950086807</v>
      </c>
      <c r="C64" s="2">
        <v>45144.737336154511</v>
      </c>
      <c r="D64" s="2">
        <v>45272.920821397573</v>
      </c>
      <c r="E64">
        <v>1</v>
      </c>
      <c r="F64">
        <v>10</v>
      </c>
      <c r="G64">
        <v>1</v>
      </c>
      <c r="H64">
        <v>0.122</v>
      </c>
      <c r="I64">
        <v>0.50900000000000001</v>
      </c>
      <c r="J64">
        <v>7.2999999999999995E-2</v>
      </c>
      <c r="K64">
        <v>8.9290000000000003</v>
      </c>
      <c r="L64">
        <v>3.3330000000000002</v>
      </c>
      <c r="M64">
        <v>9</v>
      </c>
      <c r="N64">
        <v>900</v>
      </c>
      <c r="O64">
        <v>3</v>
      </c>
      <c r="P64">
        <v>9</v>
      </c>
      <c r="Q64">
        <v>90</v>
      </c>
      <c r="R64">
        <v>1</v>
      </c>
      <c r="S64" t="b">
        <v>1</v>
      </c>
      <c r="T64">
        <v>2</v>
      </c>
      <c r="U64">
        <v>4.5</v>
      </c>
      <c r="V64">
        <v>2.5</v>
      </c>
      <c r="W64">
        <v>8.25</v>
      </c>
      <c r="X64">
        <v>1</v>
      </c>
      <c r="Y64">
        <v>3</v>
      </c>
    </row>
    <row r="65" spans="1:25">
      <c r="A65">
        <v>45</v>
      </c>
      <c r="B65" s="2">
        <v>45657.471277126737</v>
      </c>
      <c r="C65" s="2">
        <v>45625.425405815971</v>
      </c>
      <c r="D65" s="2">
        <v>45753.608891059033</v>
      </c>
      <c r="E65">
        <v>1</v>
      </c>
      <c r="F65">
        <v>21</v>
      </c>
      <c r="G65">
        <v>3</v>
      </c>
      <c r="H65">
        <v>8.3000000000000004E-2</v>
      </c>
      <c r="I65">
        <v>0.56999999999999995</v>
      </c>
      <c r="J65">
        <v>0.13700000000000001</v>
      </c>
      <c r="K65">
        <v>19.091000000000001</v>
      </c>
      <c r="L65">
        <v>7</v>
      </c>
      <c r="M65">
        <v>20</v>
      </c>
      <c r="N65">
        <v>2000</v>
      </c>
      <c r="O65">
        <v>1</v>
      </c>
      <c r="P65">
        <v>18</v>
      </c>
      <c r="Q65">
        <v>85.713999999999999</v>
      </c>
      <c r="R65">
        <v>2</v>
      </c>
      <c r="S65" t="b">
        <v>1</v>
      </c>
      <c r="T65">
        <v>2.25</v>
      </c>
      <c r="U65">
        <v>4.75</v>
      </c>
      <c r="V65">
        <v>2.5</v>
      </c>
      <c r="W65">
        <v>8.5</v>
      </c>
      <c r="X65">
        <v>2</v>
      </c>
      <c r="Y65">
        <v>1</v>
      </c>
    </row>
    <row r="66" spans="1:25">
      <c r="A66">
        <v>45</v>
      </c>
      <c r="B66" s="2">
        <v>45785.654762369792</v>
      </c>
      <c r="C66" s="2">
        <v>45753.608891059033</v>
      </c>
      <c r="D66" s="2">
        <v>45817.700633680557</v>
      </c>
      <c r="E66">
        <v>3</v>
      </c>
      <c r="F66">
        <v>14</v>
      </c>
      <c r="G66">
        <v>3</v>
      </c>
      <c r="H66">
        <v>0.13700000000000001</v>
      </c>
      <c r="I66">
        <v>1.095</v>
      </c>
      <c r="J66">
        <v>0.435</v>
      </c>
      <c r="K66">
        <v>12.727</v>
      </c>
      <c r="L66">
        <v>4.6669999999999998</v>
      </c>
      <c r="M66">
        <v>11</v>
      </c>
      <c r="N66">
        <v>366.66699999999997</v>
      </c>
      <c r="O66">
        <v>1</v>
      </c>
      <c r="P66">
        <v>11</v>
      </c>
      <c r="Q66">
        <v>78.570999999999998</v>
      </c>
      <c r="R66">
        <v>1</v>
      </c>
      <c r="S66" t="b">
        <v>1</v>
      </c>
      <c r="T66">
        <v>2.25</v>
      </c>
      <c r="U66">
        <v>4.75</v>
      </c>
      <c r="V66">
        <v>2.5</v>
      </c>
      <c r="W66">
        <v>8.5</v>
      </c>
      <c r="X66">
        <v>1</v>
      </c>
      <c r="Y66">
        <v>2</v>
      </c>
    </row>
    <row r="67" spans="1:25">
      <c r="A67">
        <v>45</v>
      </c>
      <c r="B67" s="2">
        <v>45144.737336154511</v>
      </c>
      <c r="C67" s="2">
        <v>45080.645593532987</v>
      </c>
      <c r="D67" s="2">
        <v>45176.783207465283</v>
      </c>
      <c r="E67">
        <v>1</v>
      </c>
      <c r="F67">
        <v>5</v>
      </c>
      <c r="G67">
        <v>3</v>
      </c>
      <c r="H67">
        <v>0.06</v>
      </c>
      <c r="I67">
        <v>0.61099999999999999</v>
      </c>
      <c r="J67">
        <v>0.20499999999999999</v>
      </c>
      <c r="K67">
        <v>4.5449999999999999</v>
      </c>
      <c r="L67">
        <v>1.667</v>
      </c>
      <c r="M67">
        <v>4</v>
      </c>
      <c r="N67">
        <v>400</v>
      </c>
      <c r="O67">
        <v>1</v>
      </c>
      <c r="P67">
        <v>2</v>
      </c>
      <c r="Q67">
        <v>40</v>
      </c>
      <c r="R67">
        <v>1</v>
      </c>
      <c r="S67" t="b">
        <v>0</v>
      </c>
      <c r="T67">
        <v>2.25</v>
      </c>
      <c r="U67">
        <v>4.75</v>
      </c>
      <c r="V67">
        <v>2.5</v>
      </c>
      <c r="W67">
        <v>8.5</v>
      </c>
      <c r="X67">
        <v>1</v>
      </c>
      <c r="Y67">
        <v>3</v>
      </c>
    </row>
    <row r="68" spans="1:25">
      <c r="A68">
        <v>46</v>
      </c>
      <c r="B68" s="2">
        <v>45176.783207465283</v>
      </c>
      <c r="C68" s="2">
        <v>45144.737336154511</v>
      </c>
      <c r="D68" s="2">
        <v>45337.012564019104</v>
      </c>
      <c r="E68">
        <v>2</v>
      </c>
      <c r="F68">
        <v>17</v>
      </c>
      <c r="G68">
        <v>2</v>
      </c>
      <c r="H68">
        <v>0.24399999999999999</v>
      </c>
      <c r="I68">
        <v>1.163</v>
      </c>
      <c r="J68">
        <v>0.127</v>
      </c>
      <c r="K68">
        <v>15.455</v>
      </c>
      <c r="L68">
        <v>6.8</v>
      </c>
      <c r="M68">
        <v>15</v>
      </c>
      <c r="N68">
        <v>750</v>
      </c>
      <c r="O68">
        <v>1</v>
      </c>
      <c r="P68">
        <v>15</v>
      </c>
      <c r="Q68">
        <v>88.234999999999999</v>
      </c>
      <c r="R68">
        <v>3</v>
      </c>
      <c r="S68" t="b">
        <v>1</v>
      </c>
      <c r="T68">
        <v>2</v>
      </c>
      <c r="U68">
        <v>4</v>
      </c>
      <c r="V68">
        <v>2</v>
      </c>
      <c r="W68">
        <v>7</v>
      </c>
      <c r="X68">
        <v>2</v>
      </c>
      <c r="Y68">
        <v>1</v>
      </c>
    </row>
    <row r="69" spans="1:25">
      <c r="A69">
        <v>46</v>
      </c>
      <c r="B69" s="2">
        <v>45817.700633680557</v>
      </c>
      <c r="C69" s="2">
        <v>45785.654762369792</v>
      </c>
      <c r="D69" s="2">
        <v>45849.746504991323</v>
      </c>
      <c r="E69">
        <v>1</v>
      </c>
      <c r="F69">
        <v>6</v>
      </c>
      <c r="G69">
        <v>2</v>
      </c>
      <c r="H69">
        <v>7.8E-2</v>
      </c>
      <c r="I69">
        <v>0.87</v>
      </c>
      <c r="J69">
        <v>0.22800000000000001</v>
      </c>
      <c r="K69">
        <v>5.4550000000000001</v>
      </c>
      <c r="L69">
        <v>2.4</v>
      </c>
      <c r="M69">
        <v>5</v>
      </c>
      <c r="N69">
        <v>500</v>
      </c>
      <c r="O69">
        <v>1</v>
      </c>
      <c r="P69">
        <v>4</v>
      </c>
      <c r="Q69">
        <v>66.667000000000002</v>
      </c>
      <c r="R69">
        <v>1</v>
      </c>
      <c r="S69" t="b">
        <v>0</v>
      </c>
      <c r="T69">
        <v>2</v>
      </c>
      <c r="U69">
        <v>4</v>
      </c>
      <c r="V69">
        <v>2</v>
      </c>
      <c r="W69">
        <v>7</v>
      </c>
      <c r="X69">
        <v>1</v>
      </c>
      <c r="Y69">
        <v>2</v>
      </c>
    </row>
    <row r="70" spans="1:25">
      <c r="A70">
        <v>46</v>
      </c>
      <c r="B70" s="2">
        <v>45401.104306640627</v>
      </c>
      <c r="C70" s="2">
        <v>45369.058435329862</v>
      </c>
      <c r="D70" s="2">
        <v>45465.196049262151</v>
      </c>
      <c r="E70">
        <v>2</v>
      </c>
      <c r="F70">
        <v>4</v>
      </c>
      <c r="G70">
        <v>1</v>
      </c>
      <c r="H70">
        <v>0.19400000000000001</v>
      </c>
      <c r="I70">
        <v>0.20799999999999999</v>
      </c>
      <c r="J70">
        <v>6.6000000000000003E-2</v>
      </c>
      <c r="K70">
        <v>3.6360000000000001</v>
      </c>
      <c r="L70">
        <v>1.6</v>
      </c>
      <c r="M70">
        <v>2</v>
      </c>
      <c r="N70">
        <v>100</v>
      </c>
      <c r="O70">
        <v>1</v>
      </c>
      <c r="P70">
        <v>3</v>
      </c>
      <c r="Q70">
        <v>75</v>
      </c>
      <c r="R70">
        <v>2</v>
      </c>
      <c r="S70" t="b">
        <v>0</v>
      </c>
      <c r="T70">
        <v>2</v>
      </c>
      <c r="U70">
        <v>4</v>
      </c>
      <c r="V70">
        <v>2</v>
      </c>
      <c r="W70">
        <v>7</v>
      </c>
      <c r="X70">
        <v>1</v>
      </c>
      <c r="Y70">
        <v>3</v>
      </c>
    </row>
    <row r="71" spans="1:25">
      <c r="A71">
        <v>49</v>
      </c>
      <c r="B71" s="2">
        <v>45208.829078776042</v>
      </c>
      <c r="C71" s="2">
        <v>45144.737336154511</v>
      </c>
      <c r="D71" s="2">
        <v>45272.920821397573</v>
      </c>
      <c r="E71">
        <v>1</v>
      </c>
      <c r="F71">
        <v>10</v>
      </c>
      <c r="G71">
        <v>3</v>
      </c>
      <c r="H71">
        <v>0.122</v>
      </c>
      <c r="I71">
        <v>0.246</v>
      </c>
      <c r="J71">
        <v>0.22</v>
      </c>
      <c r="K71">
        <v>10</v>
      </c>
      <c r="L71">
        <v>3.3330000000000002</v>
      </c>
      <c r="M71">
        <v>9</v>
      </c>
      <c r="N71">
        <v>900</v>
      </c>
      <c r="O71">
        <v>2</v>
      </c>
      <c r="P71">
        <v>7</v>
      </c>
      <c r="Q71">
        <v>70</v>
      </c>
      <c r="R71">
        <v>2</v>
      </c>
      <c r="S71" t="b">
        <v>1</v>
      </c>
      <c r="T71">
        <v>2</v>
      </c>
      <c r="U71">
        <v>5</v>
      </c>
      <c r="V71">
        <v>3</v>
      </c>
      <c r="W71">
        <v>9.5</v>
      </c>
      <c r="X71">
        <v>1</v>
      </c>
      <c r="Y71">
        <v>1</v>
      </c>
    </row>
    <row r="72" spans="1:25">
      <c r="A72">
        <v>49</v>
      </c>
      <c r="B72" s="2">
        <v>45112.691464843752</v>
      </c>
      <c r="C72" s="2">
        <v>45047.574254340281</v>
      </c>
      <c r="D72" s="2">
        <v>45144.737336154511</v>
      </c>
      <c r="E72">
        <v>1</v>
      </c>
      <c r="F72">
        <v>7</v>
      </c>
      <c r="G72">
        <v>1</v>
      </c>
      <c r="H72">
        <v>0.16400000000000001</v>
      </c>
      <c r="I72">
        <v>0.629</v>
      </c>
      <c r="J72">
        <v>0.122</v>
      </c>
      <c r="K72">
        <v>7</v>
      </c>
      <c r="L72">
        <v>2.3330000000000002</v>
      </c>
      <c r="M72">
        <v>6</v>
      </c>
      <c r="N72">
        <v>600</v>
      </c>
      <c r="O72">
        <v>2</v>
      </c>
      <c r="P72">
        <v>6</v>
      </c>
      <c r="Q72">
        <v>85.713999999999999</v>
      </c>
      <c r="R72">
        <v>1</v>
      </c>
      <c r="S72" t="b">
        <v>0</v>
      </c>
      <c r="T72">
        <v>2</v>
      </c>
      <c r="U72">
        <v>5</v>
      </c>
      <c r="V72">
        <v>3</v>
      </c>
      <c r="W72">
        <v>9.5</v>
      </c>
      <c r="X72">
        <v>1</v>
      </c>
      <c r="Y72">
        <v>2</v>
      </c>
    </row>
    <row r="73" spans="1:25">
      <c r="A73">
        <v>49</v>
      </c>
      <c r="B73" s="2">
        <v>45625.425405815971</v>
      </c>
      <c r="C73" s="2">
        <v>45529.287791883682</v>
      </c>
      <c r="D73" s="2">
        <v>45657.471277126737</v>
      </c>
      <c r="E73">
        <v>1</v>
      </c>
      <c r="F73">
        <v>6</v>
      </c>
      <c r="G73">
        <v>4</v>
      </c>
      <c r="H73">
        <v>9.0999999999999998E-2</v>
      </c>
      <c r="I73">
        <v>0.501</v>
      </c>
      <c r="J73">
        <v>0.108</v>
      </c>
      <c r="K73">
        <v>6</v>
      </c>
      <c r="L73">
        <v>2</v>
      </c>
      <c r="M73">
        <v>5</v>
      </c>
      <c r="N73">
        <v>500</v>
      </c>
      <c r="O73">
        <v>2</v>
      </c>
      <c r="P73">
        <v>2</v>
      </c>
      <c r="Q73">
        <v>33.332999999999998</v>
      </c>
      <c r="R73">
        <v>1</v>
      </c>
      <c r="S73" t="b">
        <v>0</v>
      </c>
      <c r="T73">
        <v>2</v>
      </c>
      <c r="U73">
        <v>5</v>
      </c>
      <c r="V73">
        <v>3</v>
      </c>
      <c r="W73">
        <v>9.5</v>
      </c>
      <c r="X73">
        <v>1</v>
      </c>
      <c r="Y73">
        <v>3</v>
      </c>
    </row>
    <row r="74" spans="1:25">
      <c r="A74">
        <v>51</v>
      </c>
      <c r="B74" s="2">
        <v>45433.150177951393</v>
      </c>
      <c r="C74" s="2">
        <v>45369.058435329862</v>
      </c>
      <c r="D74" s="2">
        <v>45465.196049262151</v>
      </c>
      <c r="E74">
        <v>1</v>
      </c>
      <c r="F74">
        <v>12</v>
      </c>
      <c r="G74">
        <v>1</v>
      </c>
      <c r="H74">
        <v>9.7000000000000003E-2</v>
      </c>
      <c r="I74">
        <v>0.39800000000000002</v>
      </c>
      <c r="J74">
        <v>6.6000000000000003E-2</v>
      </c>
      <c r="K74">
        <v>12.244999999999999</v>
      </c>
      <c r="L74">
        <v>4</v>
      </c>
      <c r="M74">
        <v>11</v>
      </c>
      <c r="N74">
        <v>1100</v>
      </c>
      <c r="O74">
        <v>2</v>
      </c>
      <c r="P74">
        <v>11</v>
      </c>
      <c r="Q74">
        <v>91.667000000000002</v>
      </c>
      <c r="R74">
        <v>1</v>
      </c>
      <c r="S74" t="b">
        <v>1</v>
      </c>
      <c r="T74">
        <v>2</v>
      </c>
      <c r="U74">
        <v>4.5</v>
      </c>
      <c r="V74">
        <v>2.5</v>
      </c>
      <c r="W74">
        <v>8.25</v>
      </c>
      <c r="X74">
        <v>1</v>
      </c>
      <c r="Y74">
        <v>1</v>
      </c>
    </row>
    <row r="75" spans="1:25">
      <c r="A75">
        <v>51</v>
      </c>
      <c r="B75" s="2">
        <v>45112.691464843752</v>
      </c>
      <c r="C75" s="2">
        <v>45047.574254340281</v>
      </c>
      <c r="D75" s="2">
        <v>45144.737336154511</v>
      </c>
      <c r="E75">
        <v>3</v>
      </c>
      <c r="F75">
        <v>10</v>
      </c>
      <c r="G75">
        <v>2</v>
      </c>
      <c r="H75">
        <v>0.49099999999999999</v>
      </c>
      <c r="I75">
        <v>0.89900000000000002</v>
      </c>
      <c r="J75">
        <v>0.24399999999999999</v>
      </c>
      <c r="K75">
        <v>10.204000000000001</v>
      </c>
      <c r="L75">
        <v>3.3330000000000002</v>
      </c>
      <c r="M75">
        <v>7</v>
      </c>
      <c r="N75">
        <v>233.333</v>
      </c>
      <c r="O75">
        <v>2</v>
      </c>
      <c r="P75">
        <v>8</v>
      </c>
      <c r="Q75">
        <v>80</v>
      </c>
      <c r="R75">
        <v>1</v>
      </c>
      <c r="S75" t="b">
        <v>1</v>
      </c>
      <c r="T75">
        <v>2</v>
      </c>
      <c r="U75">
        <v>4.5</v>
      </c>
      <c r="V75">
        <v>2.5</v>
      </c>
      <c r="W75">
        <v>8.25</v>
      </c>
      <c r="X75">
        <v>1</v>
      </c>
      <c r="Y75">
        <v>2</v>
      </c>
    </row>
    <row r="76" spans="1:25">
      <c r="A76">
        <v>51</v>
      </c>
      <c r="B76" s="2">
        <v>45272.920821397573</v>
      </c>
      <c r="C76" s="2">
        <v>45176.783207465283</v>
      </c>
      <c r="D76" s="2">
        <v>45337.012564019104</v>
      </c>
      <c r="E76">
        <v>2</v>
      </c>
      <c r="F76">
        <v>7</v>
      </c>
      <c r="G76">
        <v>1</v>
      </c>
      <c r="H76">
        <v>0.13700000000000001</v>
      </c>
      <c r="I76">
        <v>0.51400000000000001</v>
      </c>
      <c r="J76">
        <v>6.3E-2</v>
      </c>
      <c r="K76">
        <v>7.1429999999999998</v>
      </c>
      <c r="L76">
        <v>2.3330000000000002</v>
      </c>
      <c r="M76">
        <v>5</v>
      </c>
      <c r="N76">
        <v>250</v>
      </c>
      <c r="O76">
        <v>3</v>
      </c>
      <c r="P76">
        <v>6</v>
      </c>
      <c r="Q76">
        <v>85.713999999999999</v>
      </c>
      <c r="R76">
        <v>2</v>
      </c>
      <c r="S76" t="b">
        <v>0</v>
      </c>
      <c r="T76">
        <v>2</v>
      </c>
      <c r="U76">
        <v>4.5</v>
      </c>
      <c r="V76">
        <v>2.5</v>
      </c>
      <c r="W76">
        <v>8.25</v>
      </c>
      <c r="X76">
        <v>1</v>
      </c>
      <c r="Y76">
        <v>3</v>
      </c>
    </row>
    <row r="77" spans="1:25">
      <c r="A77">
        <v>52</v>
      </c>
      <c r="B77" s="2">
        <v>45208.829078776042</v>
      </c>
      <c r="C77" s="2">
        <v>45112.691464843752</v>
      </c>
      <c r="D77" s="2">
        <v>45272.920821397573</v>
      </c>
      <c r="E77">
        <v>2</v>
      </c>
      <c r="F77">
        <v>11</v>
      </c>
      <c r="G77">
        <v>2</v>
      </c>
      <c r="H77">
        <v>0.18</v>
      </c>
      <c r="I77">
        <v>0.27100000000000002</v>
      </c>
      <c r="J77">
        <v>0.14699999999999999</v>
      </c>
      <c r="K77">
        <v>11.957000000000001</v>
      </c>
      <c r="L77">
        <v>3.6669999999999998</v>
      </c>
      <c r="M77">
        <v>9</v>
      </c>
      <c r="N77">
        <v>450</v>
      </c>
      <c r="O77">
        <v>3</v>
      </c>
      <c r="P77">
        <v>9</v>
      </c>
      <c r="Q77">
        <v>81.817999999999998</v>
      </c>
      <c r="R77">
        <v>2</v>
      </c>
      <c r="S77" t="b">
        <v>1</v>
      </c>
      <c r="T77">
        <v>2</v>
      </c>
      <c r="U77">
        <v>5</v>
      </c>
      <c r="V77">
        <v>3</v>
      </c>
      <c r="W77">
        <v>9.5</v>
      </c>
      <c r="X77">
        <v>1</v>
      </c>
      <c r="Y77">
        <v>1</v>
      </c>
    </row>
    <row r="78" spans="1:25">
      <c r="A78">
        <v>52</v>
      </c>
      <c r="B78" s="2">
        <v>45433.150177951393</v>
      </c>
      <c r="C78" s="2">
        <v>45369.058435329862</v>
      </c>
      <c r="D78" s="2">
        <v>45465.196049262151</v>
      </c>
      <c r="E78">
        <v>1</v>
      </c>
      <c r="F78">
        <v>8</v>
      </c>
      <c r="G78">
        <v>4</v>
      </c>
      <c r="H78">
        <v>9.7000000000000003E-2</v>
      </c>
      <c r="I78">
        <v>0.26500000000000001</v>
      </c>
      <c r="J78">
        <v>0.26300000000000001</v>
      </c>
      <c r="K78">
        <v>8.6959999999999997</v>
      </c>
      <c r="L78">
        <v>2.6669999999999998</v>
      </c>
      <c r="M78">
        <v>7</v>
      </c>
      <c r="N78">
        <v>700</v>
      </c>
      <c r="O78">
        <v>2</v>
      </c>
      <c r="P78">
        <v>4</v>
      </c>
      <c r="Q78">
        <v>50</v>
      </c>
      <c r="R78">
        <v>1</v>
      </c>
      <c r="S78" t="b">
        <v>0</v>
      </c>
      <c r="T78">
        <v>2</v>
      </c>
      <c r="U78">
        <v>5</v>
      </c>
      <c r="V78">
        <v>3</v>
      </c>
      <c r="W78">
        <v>9.5</v>
      </c>
      <c r="X78">
        <v>1</v>
      </c>
      <c r="Y78">
        <v>2</v>
      </c>
    </row>
    <row r="79" spans="1:25">
      <c r="A79">
        <v>52</v>
      </c>
      <c r="B79" s="2">
        <v>45529.287791883682</v>
      </c>
      <c r="C79" s="2">
        <v>45465.196049262151</v>
      </c>
      <c r="D79" s="2">
        <v>45561.333663194448</v>
      </c>
      <c r="E79">
        <v>4</v>
      </c>
      <c r="F79">
        <v>6</v>
      </c>
      <c r="G79">
        <v>2</v>
      </c>
      <c r="H79">
        <v>0.26300000000000001</v>
      </c>
      <c r="I79">
        <v>0.54800000000000004</v>
      </c>
      <c r="J79">
        <v>0.17499999999999999</v>
      </c>
      <c r="K79">
        <v>6.5220000000000002</v>
      </c>
      <c r="L79">
        <v>2</v>
      </c>
      <c r="M79">
        <v>2</v>
      </c>
      <c r="N79">
        <v>50</v>
      </c>
      <c r="O79">
        <v>2</v>
      </c>
      <c r="P79">
        <v>4</v>
      </c>
      <c r="Q79">
        <v>66.667000000000002</v>
      </c>
      <c r="R79">
        <v>1</v>
      </c>
      <c r="S79" t="b">
        <v>0</v>
      </c>
      <c r="T79">
        <v>2</v>
      </c>
      <c r="U79">
        <v>5</v>
      </c>
      <c r="V79">
        <v>3</v>
      </c>
      <c r="W79">
        <v>9.5</v>
      </c>
      <c r="X79">
        <v>1</v>
      </c>
      <c r="Y79">
        <v>3</v>
      </c>
    </row>
    <row r="80" spans="1:25">
      <c r="A80">
        <v>55</v>
      </c>
      <c r="B80" s="2">
        <v>45433.150177951393</v>
      </c>
      <c r="C80" s="2">
        <v>45272.920821397573</v>
      </c>
      <c r="D80" s="2">
        <v>45465.196049262151</v>
      </c>
      <c r="E80">
        <v>3</v>
      </c>
      <c r="F80">
        <v>16</v>
      </c>
      <c r="G80">
        <v>2</v>
      </c>
      <c r="H80">
        <v>0.22</v>
      </c>
      <c r="I80">
        <v>0.53100000000000003</v>
      </c>
      <c r="J80">
        <v>0.13200000000000001</v>
      </c>
      <c r="K80">
        <v>18.181999999999999</v>
      </c>
      <c r="L80">
        <v>8</v>
      </c>
      <c r="M80">
        <v>13</v>
      </c>
      <c r="N80">
        <v>433.33300000000003</v>
      </c>
      <c r="O80">
        <v>3</v>
      </c>
      <c r="P80">
        <v>14</v>
      </c>
      <c r="Q80">
        <v>87.5</v>
      </c>
      <c r="R80">
        <v>1</v>
      </c>
      <c r="S80" t="b">
        <v>1</v>
      </c>
      <c r="T80">
        <v>1</v>
      </c>
      <c r="U80">
        <v>4</v>
      </c>
      <c r="V80">
        <v>3</v>
      </c>
      <c r="W80">
        <v>8.5</v>
      </c>
      <c r="X80">
        <v>1</v>
      </c>
      <c r="Y80">
        <v>1</v>
      </c>
    </row>
    <row r="81" spans="1:25">
      <c r="A81">
        <v>55</v>
      </c>
      <c r="B81" s="2">
        <v>45208.829078776042</v>
      </c>
      <c r="C81" s="2">
        <v>45176.783207465283</v>
      </c>
      <c r="D81" s="2">
        <v>45272.920821397573</v>
      </c>
      <c r="E81">
        <v>2</v>
      </c>
      <c r="F81">
        <v>13</v>
      </c>
      <c r="G81">
        <v>3</v>
      </c>
      <c r="H81">
        <v>0.13700000000000001</v>
      </c>
      <c r="I81">
        <v>0.32</v>
      </c>
      <c r="J81">
        <v>0.22</v>
      </c>
      <c r="K81">
        <v>14.773</v>
      </c>
      <c r="L81">
        <v>6.5</v>
      </c>
      <c r="M81">
        <v>11</v>
      </c>
      <c r="N81">
        <v>550</v>
      </c>
      <c r="O81">
        <v>1</v>
      </c>
      <c r="P81">
        <v>10</v>
      </c>
      <c r="Q81">
        <v>76.923000000000002</v>
      </c>
      <c r="R81">
        <v>2</v>
      </c>
      <c r="S81" t="b">
        <v>1</v>
      </c>
      <c r="T81">
        <v>1</v>
      </c>
      <c r="U81">
        <v>4</v>
      </c>
      <c r="V81">
        <v>3</v>
      </c>
      <c r="W81">
        <v>8.5</v>
      </c>
      <c r="X81">
        <v>1</v>
      </c>
      <c r="Y81">
        <v>2</v>
      </c>
    </row>
    <row r="82" spans="1:25">
      <c r="A82">
        <v>55</v>
      </c>
      <c r="B82" s="2">
        <v>45529.287791883682</v>
      </c>
      <c r="C82" s="2">
        <v>45465.196049262151</v>
      </c>
      <c r="D82" s="2">
        <v>45593.379534505213</v>
      </c>
      <c r="E82">
        <v>2</v>
      </c>
      <c r="F82">
        <v>4</v>
      </c>
      <c r="G82">
        <v>1</v>
      </c>
      <c r="H82">
        <v>0.13200000000000001</v>
      </c>
      <c r="I82">
        <v>0.36499999999999999</v>
      </c>
      <c r="J82">
        <v>0.128</v>
      </c>
      <c r="K82">
        <v>4.5449999999999999</v>
      </c>
      <c r="L82">
        <v>2</v>
      </c>
      <c r="M82">
        <v>2</v>
      </c>
      <c r="N82">
        <v>100</v>
      </c>
      <c r="O82">
        <v>2</v>
      </c>
      <c r="P82">
        <v>3</v>
      </c>
      <c r="Q82">
        <v>75</v>
      </c>
      <c r="R82">
        <v>2</v>
      </c>
      <c r="S82" t="b">
        <v>0</v>
      </c>
      <c r="T82">
        <v>1</v>
      </c>
      <c r="U82">
        <v>4</v>
      </c>
      <c r="V82">
        <v>3</v>
      </c>
      <c r="W82">
        <v>8.5</v>
      </c>
      <c r="X82">
        <v>1</v>
      </c>
      <c r="Y82">
        <v>3</v>
      </c>
    </row>
    <row r="83" spans="1:25">
      <c r="A83">
        <v>60</v>
      </c>
      <c r="B83" s="2">
        <v>45208.829078776042</v>
      </c>
      <c r="C83" s="2">
        <v>45112.691464843752</v>
      </c>
      <c r="D83" s="2">
        <v>45369.058435329862</v>
      </c>
      <c r="E83">
        <v>1</v>
      </c>
      <c r="F83">
        <v>13</v>
      </c>
      <c r="G83">
        <v>1</v>
      </c>
      <c r="H83">
        <v>0.09</v>
      </c>
      <c r="I83">
        <v>0.32</v>
      </c>
      <c r="J83">
        <v>9.7000000000000003E-2</v>
      </c>
      <c r="K83">
        <v>22.414000000000001</v>
      </c>
      <c r="L83">
        <v>6.5</v>
      </c>
      <c r="M83">
        <v>12</v>
      </c>
      <c r="N83">
        <v>1200</v>
      </c>
      <c r="O83">
        <v>1</v>
      </c>
      <c r="P83">
        <v>12</v>
      </c>
      <c r="Q83">
        <v>92.308000000000007</v>
      </c>
      <c r="R83">
        <v>4</v>
      </c>
      <c r="S83" t="b">
        <v>1</v>
      </c>
      <c r="T83">
        <v>1</v>
      </c>
      <c r="U83">
        <v>3.25</v>
      </c>
      <c r="V83">
        <v>2.25</v>
      </c>
      <c r="W83">
        <v>6.625</v>
      </c>
      <c r="X83">
        <v>1</v>
      </c>
      <c r="Y83">
        <v>1</v>
      </c>
    </row>
    <row r="84" spans="1:25">
      <c r="A84">
        <v>60</v>
      </c>
      <c r="B84" s="2">
        <v>45401.104306640627</v>
      </c>
      <c r="C84" s="2">
        <v>45369.058435329862</v>
      </c>
      <c r="D84" s="2">
        <v>45433.150177951393</v>
      </c>
      <c r="E84">
        <v>1</v>
      </c>
      <c r="F84">
        <v>7</v>
      </c>
      <c r="G84">
        <v>2</v>
      </c>
      <c r="H84">
        <v>9.7000000000000003E-2</v>
      </c>
      <c r="I84">
        <v>0.36399999999999999</v>
      </c>
      <c r="J84">
        <v>6.6000000000000003E-2</v>
      </c>
      <c r="K84">
        <v>12.069000000000001</v>
      </c>
      <c r="L84">
        <v>3.5</v>
      </c>
      <c r="M84">
        <v>6</v>
      </c>
      <c r="N84">
        <v>600</v>
      </c>
      <c r="O84">
        <v>1</v>
      </c>
      <c r="P84">
        <v>5</v>
      </c>
      <c r="Q84">
        <v>71.429000000000002</v>
      </c>
      <c r="R84">
        <v>1</v>
      </c>
      <c r="S84" t="b">
        <v>1</v>
      </c>
      <c r="T84">
        <v>1</v>
      </c>
      <c r="U84">
        <v>3.25</v>
      </c>
      <c r="V84">
        <v>2.25</v>
      </c>
      <c r="W84">
        <v>6.625</v>
      </c>
      <c r="X84">
        <v>1</v>
      </c>
      <c r="Y84">
        <v>2</v>
      </c>
    </row>
    <row r="85" spans="1:25">
      <c r="A85">
        <v>60</v>
      </c>
      <c r="B85" s="2">
        <v>45497.241920572917</v>
      </c>
      <c r="C85" s="2">
        <v>45433.150177951393</v>
      </c>
      <c r="D85" s="2">
        <v>45561.333663194448</v>
      </c>
      <c r="E85">
        <v>2</v>
      </c>
      <c r="F85">
        <v>5</v>
      </c>
      <c r="G85">
        <v>1</v>
      </c>
      <c r="H85">
        <v>6.6000000000000003E-2</v>
      </c>
      <c r="I85">
        <v>0.35599999999999998</v>
      </c>
      <c r="J85">
        <v>8.7999999999999995E-2</v>
      </c>
      <c r="K85">
        <v>8.6210000000000004</v>
      </c>
      <c r="L85">
        <v>2.5</v>
      </c>
      <c r="M85">
        <v>3</v>
      </c>
      <c r="N85">
        <v>150</v>
      </c>
      <c r="O85">
        <v>2</v>
      </c>
      <c r="P85">
        <v>4</v>
      </c>
      <c r="Q85">
        <v>80</v>
      </c>
      <c r="R85">
        <v>2</v>
      </c>
      <c r="S85" t="b">
        <v>0</v>
      </c>
      <c r="T85">
        <v>1</v>
      </c>
      <c r="U85">
        <v>3.25</v>
      </c>
      <c r="V85">
        <v>2.25</v>
      </c>
      <c r="W85">
        <v>6.625</v>
      </c>
      <c r="X85">
        <v>1</v>
      </c>
      <c r="Y85">
        <v>3</v>
      </c>
    </row>
    <row r="86" spans="1:25">
      <c r="A86">
        <v>65</v>
      </c>
      <c r="B86" s="2">
        <v>45465.196049262151</v>
      </c>
      <c r="C86" s="2">
        <v>45369.058435329862</v>
      </c>
      <c r="D86" s="2">
        <v>45529.287791883682</v>
      </c>
      <c r="E86">
        <v>1</v>
      </c>
      <c r="F86">
        <v>10</v>
      </c>
      <c r="G86">
        <v>1</v>
      </c>
      <c r="H86">
        <v>9.7000000000000003E-2</v>
      </c>
      <c r="I86">
        <v>0.65800000000000003</v>
      </c>
      <c r="J86">
        <v>9.0999999999999998E-2</v>
      </c>
      <c r="K86">
        <v>19.608000000000001</v>
      </c>
      <c r="L86">
        <v>10</v>
      </c>
      <c r="M86">
        <v>9</v>
      </c>
      <c r="N86">
        <v>900</v>
      </c>
      <c r="O86">
        <v>3</v>
      </c>
      <c r="P86">
        <v>9</v>
      </c>
      <c r="Q86">
        <v>90</v>
      </c>
      <c r="R86">
        <v>2</v>
      </c>
      <c r="S86" t="b">
        <v>1</v>
      </c>
      <c r="T86">
        <v>1</v>
      </c>
      <c r="U86">
        <v>4</v>
      </c>
      <c r="V86">
        <v>3</v>
      </c>
      <c r="W86">
        <v>8.5</v>
      </c>
      <c r="X86">
        <v>1</v>
      </c>
      <c r="Y86">
        <v>1</v>
      </c>
    </row>
    <row r="87" spans="1:25">
      <c r="A87">
        <v>65</v>
      </c>
      <c r="B87" s="2">
        <v>45176.783207465283</v>
      </c>
      <c r="C87" s="2">
        <v>45144.737336154511</v>
      </c>
      <c r="D87" s="2">
        <v>45208.829078776042</v>
      </c>
      <c r="E87">
        <v>1</v>
      </c>
      <c r="F87">
        <v>5</v>
      </c>
      <c r="G87">
        <v>1</v>
      </c>
      <c r="H87">
        <v>0.122</v>
      </c>
      <c r="I87">
        <v>0.34200000000000003</v>
      </c>
      <c r="J87">
        <v>2.5000000000000001E-2</v>
      </c>
      <c r="K87">
        <v>9.8040000000000003</v>
      </c>
      <c r="L87">
        <v>5</v>
      </c>
      <c r="M87">
        <v>4</v>
      </c>
      <c r="N87">
        <v>400</v>
      </c>
      <c r="O87">
        <v>1</v>
      </c>
      <c r="P87">
        <v>4</v>
      </c>
      <c r="Q87">
        <v>80</v>
      </c>
      <c r="R87">
        <v>1</v>
      </c>
      <c r="S87" t="b">
        <v>0</v>
      </c>
      <c r="T87">
        <v>1</v>
      </c>
      <c r="U87">
        <v>4</v>
      </c>
      <c r="V87">
        <v>3</v>
      </c>
      <c r="W87">
        <v>8.5</v>
      </c>
      <c r="X87">
        <v>1</v>
      </c>
      <c r="Y87">
        <v>2</v>
      </c>
    </row>
    <row r="88" spans="1:25">
      <c r="A88">
        <v>65</v>
      </c>
      <c r="B88" s="2">
        <v>45304.966692708331</v>
      </c>
      <c r="C88" s="2">
        <v>45208.829078776042</v>
      </c>
      <c r="D88" s="2">
        <v>45337.012564019104</v>
      </c>
      <c r="E88">
        <v>1</v>
      </c>
      <c r="F88">
        <v>4</v>
      </c>
      <c r="G88">
        <v>1</v>
      </c>
      <c r="H88">
        <v>2.5000000000000001E-2</v>
      </c>
      <c r="I88">
        <v>0.153</v>
      </c>
      <c r="J88">
        <v>6.3E-2</v>
      </c>
      <c r="K88">
        <v>7.843</v>
      </c>
      <c r="L88">
        <v>4</v>
      </c>
      <c r="M88">
        <v>3</v>
      </c>
      <c r="N88">
        <v>300</v>
      </c>
      <c r="O88">
        <v>1</v>
      </c>
      <c r="P88">
        <v>3</v>
      </c>
      <c r="Q88">
        <v>75</v>
      </c>
      <c r="R88">
        <v>1</v>
      </c>
      <c r="S88" t="b">
        <v>0</v>
      </c>
      <c r="T88">
        <v>1</v>
      </c>
      <c r="U88">
        <v>4</v>
      </c>
      <c r="V88">
        <v>3</v>
      </c>
      <c r="W88">
        <v>8.5</v>
      </c>
      <c r="X88">
        <v>1</v>
      </c>
      <c r="Y88">
        <v>3</v>
      </c>
    </row>
    <row r="89" spans="1:25">
      <c r="A89">
        <v>67</v>
      </c>
      <c r="B89" s="2">
        <v>45304.966692708331</v>
      </c>
      <c r="C89" s="2">
        <v>45208.829078776042</v>
      </c>
      <c r="D89" s="2">
        <v>45337.012564019104</v>
      </c>
      <c r="E89">
        <v>1</v>
      </c>
      <c r="F89">
        <v>7</v>
      </c>
      <c r="G89">
        <v>1</v>
      </c>
      <c r="H89">
        <v>2.5000000000000001E-2</v>
      </c>
      <c r="I89">
        <v>0.26800000000000002</v>
      </c>
      <c r="J89">
        <v>6.3E-2</v>
      </c>
      <c r="K89">
        <v>14.286</v>
      </c>
      <c r="L89">
        <v>7</v>
      </c>
      <c r="M89">
        <v>6</v>
      </c>
      <c r="N89">
        <v>600</v>
      </c>
      <c r="O89">
        <v>2</v>
      </c>
      <c r="P89">
        <v>6</v>
      </c>
      <c r="Q89">
        <v>85.713999999999999</v>
      </c>
      <c r="R89">
        <v>1</v>
      </c>
      <c r="S89" t="b">
        <v>1</v>
      </c>
      <c r="T89">
        <v>1</v>
      </c>
      <c r="U89">
        <v>3.25</v>
      </c>
      <c r="V89">
        <v>2.25</v>
      </c>
      <c r="W89">
        <v>6.625</v>
      </c>
      <c r="X89">
        <v>1</v>
      </c>
      <c r="Y89">
        <v>1</v>
      </c>
    </row>
    <row r="90" spans="1:25">
      <c r="A90">
        <v>67</v>
      </c>
      <c r="B90" s="2">
        <v>45657.471277126737</v>
      </c>
      <c r="C90" s="2">
        <v>45625.425405815971</v>
      </c>
      <c r="D90" s="2">
        <v>45753.608891059033</v>
      </c>
      <c r="E90">
        <v>1</v>
      </c>
      <c r="F90">
        <v>6</v>
      </c>
      <c r="G90">
        <v>1</v>
      </c>
      <c r="H90">
        <v>8.3000000000000004E-2</v>
      </c>
      <c r="I90">
        <v>0.16300000000000001</v>
      </c>
      <c r="J90">
        <v>4.5999999999999999E-2</v>
      </c>
      <c r="K90">
        <v>12.244999999999999</v>
      </c>
      <c r="L90">
        <v>6</v>
      </c>
      <c r="M90">
        <v>5</v>
      </c>
      <c r="N90">
        <v>500</v>
      </c>
      <c r="O90">
        <v>1</v>
      </c>
      <c r="P90">
        <v>5</v>
      </c>
      <c r="Q90">
        <v>83.332999999999998</v>
      </c>
      <c r="R90">
        <v>3</v>
      </c>
      <c r="S90" t="b">
        <v>0</v>
      </c>
      <c r="T90">
        <v>1</v>
      </c>
      <c r="U90">
        <v>3.25</v>
      </c>
      <c r="V90">
        <v>2.25</v>
      </c>
      <c r="W90">
        <v>6.625</v>
      </c>
      <c r="X90">
        <v>1</v>
      </c>
      <c r="Y90">
        <v>2</v>
      </c>
    </row>
    <row r="91" spans="1:25">
      <c r="A91">
        <v>67</v>
      </c>
      <c r="B91" s="2">
        <v>45433.150177951393</v>
      </c>
      <c r="C91" s="2">
        <v>45401.104306640627</v>
      </c>
      <c r="D91" s="2">
        <v>45497.241920572917</v>
      </c>
      <c r="E91">
        <v>1</v>
      </c>
      <c r="F91">
        <v>5</v>
      </c>
      <c r="G91">
        <v>1</v>
      </c>
      <c r="H91">
        <v>5.1999999999999998E-2</v>
      </c>
      <c r="I91">
        <v>0.16600000000000001</v>
      </c>
      <c r="J91">
        <v>7.0999999999999994E-2</v>
      </c>
      <c r="K91">
        <v>10.204000000000001</v>
      </c>
      <c r="L91">
        <v>5</v>
      </c>
      <c r="M91">
        <v>4</v>
      </c>
      <c r="N91">
        <v>400</v>
      </c>
      <c r="O91">
        <v>1</v>
      </c>
      <c r="P91">
        <v>4</v>
      </c>
      <c r="Q91">
        <v>80</v>
      </c>
      <c r="R91">
        <v>2</v>
      </c>
      <c r="S91" t="b">
        <v>0</v>
      </c>
      <c r="T91">
        <v>1</v>
      </c>
      <c r="U91">
        <v>3.25</v>
      </c>
      <c r="V91">
        <v>2.25</v>
      </c>
      <c r="W91">
        <v>6.625</v>
      </c>
      <c r="X91">
        <v>1</v>
      </c>
      <c r="Y91">
        <v>3</v>
      </c>
    </row>
    <row r="92" spans="1:25">
      <c r="A92">
        <v>71</v>
      </c>
      <c r="B92" s="2">
        <v>45080.645593532987</v>
      </c>
      <c r="C92" s="2">
        <v>45047.574254340281</v>
      </c>
      <c r="D92" s="2">
        <v>45112.691464843752</v>
      </c>
      <c r="E92">
        <v>1</v>
      </c>
      <c r="F92">
        <v>6</v>
      </c>
      <c r="G92">
        <v>5</v>
      </c>
      <c r="H92">
        <v>0.16400000000000001</v>
      </c>
      <c r="I92">
        <v>0.36099999999999999</v>
      </c>
      <c r="J92">
        <v>0.45</v>
      </c>
      <c r="K92">
        <v>13.635999999999999</v>
      </c>
      <c r="L92">
        <v>3</v>
      </c>
      <c r="M92">
        <v>5</v>
      </c>
      <c r="N92">
        <v>500</v>
      </c>
      <c r="O92">
        <v>1</v>
      </c>
      <c r="P92">
        <v>1</v>
      </c>
      <c r="Q92">
        <v>16.667000000000002</v>
      </c>
      <c r="R92">
        <v>1</v>
      </c>
      <c r="S92" t="b">
        <v>0</v>
      </c>
      <c r="T92">
        <v>1</v>
      </c>
      <c r="U92">
        <v>3</v>
      </c>
      <c r="V92">
        <v>2</v>
      </c>
      <c r="W92">
        <v>6</v>
      </c>
      <c r="X92">
        <v>1</v>
      </c>
      <c r="Y92">
        <v>1</v>
      </c>
    </row>
    <row r="93" spans="1:25">
      <c r="A93">
        <v>71</v>
      </c>
      <c r="B93" s="2">
        <v>45433.150177951393</v>
      </c>
      <c r="C93" s="2">
        <v>45401.104306640627</v>
      </c>
      <c r="D93" s="2">
        <v>45465.196049262151</v>
      </c>
      <c r="E93">
        <v>2</v>
      </c>
      <c r="F93">
        <v>3</v>
      </c>
      <c r="G93">
        <v>1</v>
      </c>
      <c r="H93">
        <v>0.104</v>
      </c>
      <c r="I93">
        <v>0.1</v>
      </c>
      <c r="J93">
        <v>6.6000000000000003E-2</v>
      </c>
      <c r="K93">
        <v>6.8179999999999996</v>
      </c>
      <c r="L93">
        <v>1.5</v>
      </c>
      <c r="M93">
        <v>1</v>
      </c>
      <c r="N93">
        <v>50</v>
      </c>
      <c r="O93">
        <v>1</v>
      </c>
      <c r="P93">
        <v>2</v>
      </c>
      <c r="Q93">
        <v>66.667000000000002</v>
      </c>
      <c r="R93">
        <v>1</v>
      </c>
      <c r="S93" t="b">
        <v>0</v>
      </c>
      <c r="T93">
        <v>1</v>
      </c>
      <c r="U93">
        <v>3</v>
      </c>
      <c r="V93">
        <v>2</v>
      </c>
      <c r="W93">
        <v>6</v>
      </c>
      <c r="X93">
        <v>1</v>
      </c>
      <c r="Y93">
        <v>2</v>
      </c>
    </row>
    <row r="94" spans="1:25">
      <c r="A94">
        <v>71</v>
      </c>
      <c r="B94" s="2">
        <v>45689.517148437502</v>
      </c>
      <c r="C94" s="2">
        <v>45561.333663194448</v>
      </c>
      <c r="D94" s="2">
        <v>45785.654762369792</v>
      </c>
      <c r="E94">
        <v>1</v>
      </c>
      <c r="F94">
        <v>3</v>
      </c>
      <c r="G94">
        <v>1</v>
      </c>
      <c r="H94">
        <v>8.7999999999999995E-2</v>
      </c>
      <c r="I94">
        <v>0.107</v>
      </c>
      <c r="J94">
        <v>7.8E-2</v>
      </c>
      <c r="K94">
        <v>6.8179999999999996</v>
      </c>
      <c r="L94">
        <v>1.5</v>
      </c>
      <c r="M94">
        <v>2</v>
      </c>
      <c r="N94">
        <v>200</v>
      </c>
      <c r="O94">
        <v>1</v>
      </c>
      <c r="P94">
        <v>2</v>
      </c>
      <c r="Q94">
        <v>66.667000000000002</v>
      </c>
      <c r="R94">
        <v>2</v>
      </c>
      <c r="S94" t="b">
        <v>0</v>
      </c>
      <c r="T94">
        <v>1</v>
      </c>
      <c r="U94">
        <v>3</v>
      </c>
      <c r="V94">
        <v>2</v>
      </c>
      <c r="W94">
        <v>6</v>
      </c>
      <c r="X94">
        <v>1</v>
      </c>
      <c r="Y9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Alle_Peaks</vt:lpstr>
      <vt:lpstr>Tabelle1</vt:lpstr>
      <vt:lpstr>Tukey_Peaks</vt:lpstr>
      <vt:lpstr>Top3_Peaks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Jannis Kuck</cp:lastModifiedBy>
  <dcterms:created xsi:type="dcterms:W3CDTF">2026-08-17T22:41:09Z</dcterms:created>
  <dcterms:modified xsi:type="dcterms:W3CDTF">2026-08-19T14:07:03Z</dcterms:modified>
</cp:coreProperties>
</file>