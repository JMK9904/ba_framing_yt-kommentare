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rdner für Ordner xD\UNI Hildesheim\- Bachelorarbeit Woop Woop -\"/>
    </mc:Choice>
  </mc:AlternateContent>
  <xr:revisionPtr revIDLastSave="0" documentId="8_{0E12EF93-7296-478B-ADD8-E0B7F4F0B604}" xr6:coauthVersionLast="47" xr6:coauthVersionMax="47" xr10:uidLastSave="{00000000-0000-0000-0000-000000000000}"/>
  <bookViews>
    <workbookView xWindow="10140" yWindow="0" windowWidth="10455" windowHeight="10905" firstSheet="1" activeTab="1" xr2:uid="{00000000-000D-0000-FFFF-FFFF00000000}"/>
  </bookViews>
  <sheets>
    <sheet name="Topic_Gesamtwerte" sheetId="1" r:id="rId1"/>
    <sheet name="Tabelle2" sheetId="3" r:id="rId2"/>
    <sheet name="Tabelle1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J38" i="3"/>
  <c r="I38" i="3"/>
  <c r="H38" i="3"/>
  <c r="G38" i="3"/>
  <c r="F38" i="3"/>
  <c r="E38" i="3"/>
  <c r="D38" i="3"/>
  <c r="C38" i="3"/>
  <c r="B38" i="3"/>
  <c r="L37" i="3"/>
  <c r="K37" i="3"/>
  <c r="J37" i="3"/>
  <c r="I37" i="3"/>
  <c r="H37" i="3"/>
  <c r="G37" i="3"/>
  <c r="F37" i="3"/>
  <c r="E37" i="3"/>
  <c r="D37" i="3"/>
  <c r="C37" i="3"/>
  <c r="B37" i="3"/>
  <c r="J30" i="2"/>
  <c r="I30" i="2"/>
  <c r="H30" i="2"/>
  <c r="G30" i="2"/>
  <c r="J29" i="2"/>
  <c r="I29" i="2"/>
  <c r="H29" i="2"/>
  <c r="G29" i="2"/>
</calcChain>
</file>

<file path=xl/sharedStrings.xml><?xml version="1.0" encoding="utf-8"?>
<sst xmlns="http://schemas.openxmlformats.org/spreadsheetml/2006/main" count="270" uniqueCount="149">
  <si>
    <t>Topic-Nr</t>
  </si>
  <si>
    <t>Topic-Name</t>
  </si>
  <si>
    <t>Topic-Wörter</t>
  </si>
  <si>
    <t>Dokumente absolut</t>
  </si>
  <si>
    <t>Dokumente relativ (%)</t>
  </si>
  <si>
    <t>Videos relativ (%)</t>
  </si>
  <si>
    <t>Nutzer relativ (%)</t>
  </si>
  <si>
    <t>Peaks Tukey</t>
  </si>
  <si>
    <t>Mittelwert Zeit</t>
  </si>
  <si>
    <t>Median Zeit</t>
  </si>
  <si>
    <t>Standardabweichung Zeit</t>
  </si>
  <si>
    <t>Gini Zeit</t>
  </si>
  <si>
    <t>Videoanzahl absolut</t>
  </si>
  <si>
    <t>Videoanzahl relativ zum Korpus (%)</t>
  </si>
  <si>
    <t>Top 1 Video absolut</t>
  </si>
  <si>
    <t>Top 1 Video Anteil (%)</t>
  </si>
  <si>
    <t>Top 5 Videos absolut</t>
  </si>
  <si>
    <t>Top 5 Videos Anteil (%)</t>
  </si>
  <si>
    <t>Top 10 Videos absolut</t>
  </si>
  <si>
    <t>Top 10 Videos Anteil (%)</t>
  </si>
  <si>
    <t>Gini Videoverteilung</t>
  </si>
  <si>
    <t>Mittelwert Kommentare pro Video</t>
  </si>
  <si>
    <t>Median Kommentare pro Video</t>
  </si>
  <si>
    <t>Standardabweichung Kommentare pro Video</t>
  </si>
  <si>
    <t>Minimum Kommentare pro Video</t>
  </si>
  <si>
    <t>Nutzeranzahl absolut</t>
  </si>
  <si>
    <t>Nutzeranzahl relativ zum Korpus (%)</t>
  </si>
  <si>
    <t>Gini Nutzerverteilung</t>
  </si>
  <si>
    <t>Top 1 Nutzer absolut</t>
  </si>
  <si>
    <t>Top 1 Nutzer Anteil (%)</t>
  </si>
  <si>
    <t>Top 5 Nutzer absolut</t>
  </si>
  <si>
    <t>Top 5 Nutzer Anteil (%)</t>
  </si>
  <si>
    <t>Top 10 Nutzer absolut</t>
  </si>
  <si>
    <t>Top 10 Nutzer Anteil (%)</t>
  </si>
  <si>
    <t>Mittelwert Kommentare pro Nutzer</t>
  </si>
  <si>
    <t>Median Kommentare pro Nutzer</t>
  </si>
  <si>
    <t>Standardabweichung Kommentare pro Nutzer</t>
  </si>
  <si>
    <t>1_asyl_asylrecht_illegal_asylpolitik</t>
  </si>
  <si>
    <t>asyl, asylrecht, illegal, asylpolitik, asylantrag, asylbewerber, drittstaat, grenze, illegal migration, sicher</t>
  </si>
  <si>
    <t>3_täter_vergewaltigung_straftat_kriminalität</t>
  </si>
  <si>
    <t>täter, vergewaltigung, straftat, kriminalität, migrant, ausländer, messer, kriminell, opfer, gewalt</t>
  </si>
  <si>
    <t>7_migrationshintergrund_kultur_migration_kind</t>
  </si>
  <si>
    <t>migrationshintergrund, kultur, migration, kind, ausländer, zuwanderung, australien, migrant, bevölkerung, million</t>
  </si>
  <si>
    <t>9_fachkraft_arbeiten_fachkräftemangel_arzt</t>
  </si>
  <si>
    <t>fachkraft, arbeiten, fachkräftemangel, arzt, arbeit, job, arbeitskraft, million, zuwanderung, arbeitsmarkt</t>
  </si>
  <si>
    <t>10_gehören deutschland_islam gehören_islam_gehören</t>
  </si>
  <si>
    <t>gehören deutschland, islam gehören, islam, gehören, islamist, islamisierung, islam deutschland, kalifat, muslim, deutschland gehören</t>
  </si>
  <si>
    <t>12_remigration_abschiebung_deportation_wort</t>
  </si>
  <si>
    <t>remigration, abschiebung, deportation, wort, unwort, rückführung, abschieben, begriff, remigration deportation, sellner</t>
  </si>
  <si>
    <t>16_wohnung_wohnraum_miete_flüchtling</t>
  </si>
  <si>
    <t>wohnung, wohnraum, miete, flüchtling, bauen, vermieter, stadt, wohnen, haus, wohnungsmarkt</t>
  </si>
  <si>
    <t>17_syrien_syrer_syrisch_assad</t>
  </si>
  <si>
    <t>syrien, syrer, syrisch, assad, fluchtgrund, zurückschicken, afghanistan, syrien afghanistan, flüchtling, krieg</t>
  </si>
  <si>
    <t>19_migrant_unkontrolliert_masseneinwanderung_migrant user</t>
  </si>
  <si>
    <t>migrant, unkontrolliert, masseneinwanderung, migrant user, einwanderung, zuwanderung, migrant innen, unkontrolliert masseneinwanderung, innen, all migrant</t>
  </si>
  <si>
    <t>21_weihnachtsmarkt_polizist_mannheim_polizei</t>
  </si>
  <si>
    <t>weihnachtsmarkt, polizist, mannheim, polizei, islamistisch, anschlag, täter, islamist, stürzenberger, letzt generation</t>
  </si>
  <si>
    <t>25_ausländer_ausländer ausländer_ausländer raus_raus</t>
  </si>
  <si>
    <t>ausländer, ausländer ausländer, ausländer raus, raus, ausländer user, all ausländer, ausländerfeindlichkeit, ausländer sagen, sagen ausländer, kommentar</t>
  </si>
  <si>
    <t>26_flüchtling_flüchtling flüchtling_mehrere sicher_sicher land</t>
  </si>
  <si>
    <t>flüchtling, flüchtling flüchtling, mehrere sicher, sicher land, reisende, migrant wer, land reisen, mehr flüchtling, geflüchtet, reisen</t>
  </si>
  <si>
    <t>28_polen_polnisch_ungarn_donald</t>
  </si>
  <si>
    <t>polen, polnisch, ungarn, donald, rächen, migrationspakt, verhalten, orban, pole, volksdeutsch</t>
  </si>
  <si>
    <t>30_milliarde_geld_bürgergeld_euro</t>
  </si>
  <si>
    <t>milliarde, geld, bürgergeld, euro, flüchtling, kosten, asylante, 000, entwicklungshilfe, mrd</t>
  </si>
  <si>
    <t>35_psychisch_traumatisiert_psychisch krank_krank</t>
  </si>
  <si>
    <t>psychisch, traumatisiert, psychisch krank, krank, täter, traumatisieren, opfer, trauma, psychologisch, betreuung</t>
  </si>
  <si>
    <t>38_afghanistan_afghane_taliban_afghanisch</t>
  </si>
  <si>
    <t>afghanistan, afghane, taliban, afghanisch, abschiebung, abschieben, pakistan, baerbock, flüchtling, rückführung</t>
  </si>
  <si>
    <t>40_staatsangehörigkeit_deutsch staatsangehörigkeit_staatsbürgerschaft_staatsangehörig</t>
  </si>
  <si>
    <t>staatsangehörigkeit, deutsch staatsangehörigkeit, staatsbürgerschaft, staatsangehörig, einbürgerung, einbürgerungstest, doppelt staatsbürgerschaft, doppelt, deutsch staatsangehörig, deutsch staatsbürgerschaft</t>
  </si>
  <si>
    <t>41_polizist_polizei_messer_täter</t>
  </si>
  <si>
    <t>polizist, polizei, messer, täter, schießen, mann, erschießen, angreifer, rassismus, schuss</t>
  </si>
  <si>
    <t>42_dänemark_schweden_migrationspolitik_dänisch</t>
  </si>
  <si>
    <t>dänemark, schweden, migrationspolitik, dänisch, sozialdemokrat, asylpolitik, flüchtling, politik, däne, ddr</t>
  </si>
  <si>
    <t>43_integration_integrationsbeauftragt_integrieren_lernen</t>
  </si>
  <si>
    <t>integration, integrationsbeauftragt, integrieren, lernen, sprache, jahr deutschland, scheitern, sprechen, gut integration, gelungen integration</t>
  </si>
  <si>
    <t>44_kopftuch_islam_tragen_hübsch</t>
  </si>
  <si>
    <t>kopftuch, islam, tragen, hübsch, frau hübsch, muslimisch, frau islam, muslim, symbol, mann</t>
  </si>
  <si>
    <t>45_schengen_dublin_abkommen_grenzkontrolle</t>
  </si>
  <si>
    <t>schengen, dublin, abkommen, grenzkontrolle, grenze, außengrenze, schengenraum, schengen raum, europäisch, eu</t>
  </si>
  <si>
    <t>46_boot_mittelmeer_flüchtling_europa schaffen</t>
  </si>
  <si>
    <t>boot, mittelmeer, flüchtling, europa schaffen, ablegen, umso, migrant europa, ankunft, migrant, wahrscheinlichkeit</t>
  </si>
  <si>
    <t>49_flüchten_fliehen_flucht_geflüchtet</t>
  </si>
  <si>
    <t>flüchten, fliehen, flucht, geflüchtet, rechtsruck, verrecken, flüchtend, scheißegal, geflohen, adjektiv</t>
  </si>
  <si>
    <t>51_klimawandel_klima_klimaflüchtling_kosten</t>
  </si>
  <si>
    <t>klimawandel, klima, klimaflüchtling, kosten, china, klimaschutz, mehr kosten, grad, kalt, sommer</t>
  </si>
  <si>
    <t>52_frieden_islam_islam stehen_friedlich</t>
  </si>
  <si>
    <t>frieden, islam, islam stehen, friedlich, religion, religion frieden, stehen, islam religion, geben frieden, tun islam</t>
  </si>
  <si>
    <t>55_europa_islam_islam gehören_islam europa</t>
  </si>
  <si>
    <t>europa, islam, islam gehören, islam europa, muslim, gehören, islamist europa, islamist, islamisch, europäer</t>
  </si>
  <si>
    <t>60_verbieten_islam verbieten_islam_faschistisch</t>
  </si>
  <si>
    <t>verbieten, islam verbieten, islam, faschistisch, ideologie, abschieben abschieben, ideologie islam, politisch islam, sollen verbieten, user islam</t>
  </si>
  <si>
    <t>64_scholz_rassismus_rassist_rassistisch</t>
  </si>
  <si>
    <t>scholz, rassismus, rassist, rassistisch, hofnarr, vorwurf, rassismus vorwurf, herr scholz, lächerlich, cdu</t>
  </si>
  <si>
    <t>65_faeser_frau faeser_nancy faeser_nancy</t>
  </si>
  <si>
    <t>faeser, frau faeser, nancy faeser, nancy, faeser spd, zitat, messerstecherei, migrant, versagen, messerstecher</t>
  </si>
  <si>
    <t>67_wählen_wählen afd_afd wählen_ausländer</t>
  </si>
  <si>
    <t>wählen, wählen afd, afd wählen, ausländer, migrationshintergrund, ausländer afd, afd ausländer, raus müssen, wählen mehr, afd migrant</t>
  </si>
  <si>
    <t>71_afrika_tunesien_kids_afrikanisch</t>
  </si>
  <si>
    <t>afrika, tunesien, kids, afrikanisch, afrikaner, entwicklungshilfe, umstellen, flüchtling, europa, kind</t>
  </si>
  <si>
    <t>europa, islam, islam gehören, n t, islam europa</t>
  </si>
  <si>
    <t>europa, islam, islam gehören, raus europa, islam kommen</t>
  </si>
  <si>
    <t>europa, islam, islamisch land, islam gehören, islamisch</t>
  </si>
  <si>
    <t>europa, islam gehören, islam, schaffen islam, gefahr mehr</t>
  </si>
  <si>
    <t>europa, geprägt, geprägt land, they, you</t>
  </si>
  <si>
    <t>europa, islam europa, scheich, helfen warum, warum helfen</t>
  </si>
  <si>
    <t>europa, europa bleiben, islam europa, sollen europa, muslim sollen</t>
  </si>
  <si>
    <t>europa, mangelnd integration, viele schon, überall europa, rückschritt</t>
  </si>
  <si>
    <t>europa, satz, europa bleiben, müssen aufgrund, mehr islamistisch</t>
  </si>
  <si>
    <t>europa, dreckig islamist, islamist europa, islamist ganz, erklären bitte</t>
  </si>
  <si>
    <t>europa ganz, europa, gefahr, islam europa, vertreiben</t>
  </si>
  <si>
    <t>europa, dunkel zeit, muslim, islam, blutig</t>
  </si>
  <si>
    <t>islamist europa, europa, ganz europa, islamist, bestimmen</t>
  </si>
  <si>
    <t>europa, krieg million, egal welt, 1900, seit 1400</t>
  </si>
  <si>
    <t>europa, afghanistan usw, versuchen mal, islam gehören, fett</t>
  </si>
  <si>
    <t>islamismus, islam islamismus, allergrößt, europa müssen, all mittel</t>
  </si>
  <si>
    <t>heimat, europa, mitsamt, islamic, wert teilen</t>
  </si>
  <si>
    <t>zirkus, ganz islam, herab, bayer, nimmer</t>
  </si>
  <si>
    <t>pro afd, aussprechen, islamisierung, pro, offen</t>
  </si>
  <si>
    <t>leben europa, reden lieber, omg, friedlich islam, dumm mensch</t>
  </si>
  <si>
    <t>raffen, islamisieren, klima, alleine, ding</t>
  </si>
  <si>
    <t>warum hassen, arg, islamisierung, europäer, hassen</t>
  </si>
  <si>
    <t>europa, osman, migrieren, islam europa, herrschen</t>
  </si>
  <si>
    <t>geschwister, muslim christ, schöpfer, islam gehören, blödsinn</t>
  </si>
  <si>
    <t>mensch religion, dürfen mensch, islam mehr, religion islam, mehr aufnehmen</t>
  </si>
  <si>
    <t>Spalte1</t>
  </si>
  <si>
    <t>Spalte2</t>
  </si>
  <si>
    <t>Spalte3</t>
  </si>
  <si>
    <t>Spalte4</t>
  </si>
  <si>
    <t>Spalte5</t>
  </si>
  <si>
    <t>Spalte6</t>
  </si>
  <si>
    <t>na</t>
  </si>
  <si>
    <t>Spalte7</t>
  </si>
  <si>
    <t>p</t>
  </si>
  <si>
    <t>K</t>
  </si>
  <si>
    <t>NA</t>
  </si>
  <si>
    <t>P</t>
  </si>
  <si>
    <t>v</t>
  </si>
  <si>
    <t>po</t>
  </si>
  <si>
    <t>cd</t>
  </si>
  <si>
    <t>nc</t>
  </si>
  <si>
    <t>dis</t>
  </si>
  <si>
    <t>war</t>
  </si>
  <si>
    <t>fis</t>
  </si>
  <si>
    <t>int</t>
  </si>
  <si>
    <t>hum</t>
  </si>
  <si>
    <t>ge</t>
  </si>
  <si>
    <t>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</si>
</sst>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2" xfId="0" applyFont="1" applyBorder="1"/>
    <xf numFmtId="0" fontId="0" fillId="0" borderId="3" xfId="0" applyFont="1" applyBorder="1"/>
    <xf numFmtId="0" fontId="0" fillId="0" borderId="4" xfId="0" applyBorder="1"/>
    <xf numFmtId="14" fontId="0" fillId="0" borderId="4" xfId="0" applyNumberFormat="1" applyBorder="1"/>
    <xf numFmtId="2" fontId="0" fillId="0" borderId="4" xfId="0" applyNumberFormat="1" applyBorder="1"/>
    <xf numFmtId="0" fontId="0" fillId="0" borderId="4" xfId="0" applyBorder="1" applyAlignment="1">
      <alignment wrapText="1"/>
    </xf>
    <xf numFmtId="0" fontId="0" fillId="0" borderId="0" xfId="0" applyBorder="1"/>
    <xf numFmtId="14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</cellXfs>
  <cellStyles count="1">
    <cellStyle name="Standard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top style="thin">
          <color theme="7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7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border diagonalUp="0" diagonalDown="0" outline="0">
        <left/>
        <right/>
        <top style="thin">
          <color theme="5"/>
        </top>
        <bottom/>
      </border>
    </dxf>
    <dxf>
      <numFmt numFmtId="2" formatCode="0.00"/>
      <border diagonalUp="0" diagonalDown="0">
        <left/>
        <right/>
        <top style="thin">
          <color theme="5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right style="thin">
          <color theme="5"/>
        </right>
        <top style="thin">
          <color theme="5"/>
        </top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2FF9F-9A0F-4F5F-BD57-A2EE07867637}" name="Tabelle1" displayName="Tabelle1" ref="A1:AK33" totalsRowShown="0" headerRowDxfId="20" headerRowBorderDxfId="19" tableBorderDxfId="18">
  <autoFilter ref="A1:AK33" xr:uid="{63D2FF9F-9A0F-4F5F-BD57-A2EE07867637}"/>
  <tableColumns count="37">
    <tableColumn id="1" xr3:uid="{79C3FFC2-15F8-42F2-9F94-080591819555}" name="Topic-Nr"/>
    <tableColumn id="2" xr3:uid="{85F37985-C370-4CCB-AA56-8489564D300C}" name="Topic-Name" dataDxfId="17"/>
    <tableColumn id="3" xr3:uid="{0537305B-0424-4FD2-93CD-CD83B5CFF258}" name="Topic-Wörter" dataDxfId="16"/>
    <tableColumn id="4" xr3:uid="{A85BE5BB-111F-47F3-B4A4-F677E3774F94}" name="Dokumente absolut"/>
    <tableColumn id="5" xr3:uid="{A9393ABF-CB5A-4FDD-8D44-E72D1AA907BF}" name="Dokumente relativ (%)"/>
    <tableColumn id="6" xr3:uid="{7C8FDDC1-7536-42C8-9534-388848659AC7}" name="Videos relativ (%)"/>
    <tableColumn id="7" xr3:uid="{73353D9A-4FFC-4EDF-9CF4-59B700C746A8}" name="Nutzer relativ (%)"/>
    <tableColumn id="8" xr3:uid="{DEFFE1A5-4EDE-4C43-8351-3AFEF8D897F3}" name="Peaks Tukey"/>
    <tableColumn id="9" xr3:uid="{E505FA1B-AB1F-4654-91F3-BC75D913AEDC}" name="Mittelwert Zeit"/>
    <tableColumn id="10" xr3:uid="{0DDF36E4-2CB8-403F-8EE6-2AA94591BD6B}" name="Median Zeit"/>
    <tableColumn id="11" xr3:uid="{DE5DD477-E2A2-423D-A9E7-04ECDCA5272B}" name="Standardabweichung Zeit"/>
    <tableColumn id="12" xr3:uid="{6DF496CA-C9F1-4219-BE72-409A98623D53}" name="Gini Zeit"/>
    <tableColumn id="13" xr3:uid="{33CC4D64-CC95-4700-8963-4DB52F76B015}" name="Videoanzahl absolut"/>
    <tableColumn id="14" xr3:uid="{78C97F49-A081-44E3-A4F4-2D43BFB127B2}" name="Videoanzahl relativ zum Korpus (%)"/>
    <tableColumn id="15" xr3:uid="{25B92FD0-95D7-494D-B684-84F18C75C825}" name="Top 1 Video absolut"/>
    <tableColumn id="16" xr3:uid="{3F577BC2-7AE4-4ABF-A586-DBC415FA4664}" name="Top 1 Video Anteil (%)"/>
    <tableColumn id="17" xr3:uid="{2BB30251-6780-4C53-BB26-6B824C08DB57}" name="Top 5 Videos absolut"/>
    <tableColumn id="18" xr3:uid="{7C22C27A-E0A5-4631-B973-D9675EA662DB}" name="Top 5 Videos Anteil (%)"/>
    <tableColumn id="19" xr3:uid="{898A5170-72F8-4F0C-AC45-E604C9B29426}" name="Top 10 Videos absolut"/>
    <tableColumn id="20" xr3:uid="{E6EED983-0674-471C-B0A2-7387AF44DCB4}" name="Top 10 Videos Anteil (%)"/>
    <tableColumn id="21" xr3:uid="{D4EA4E3E-AFFF-4881-A5F2-859CC535B742}" name="Gini Videoverteilung"/>
    <tableColumn id="22" xr3:uid="{C1920BB5-CE8E-4B59-A827-BC06EB1ED5E3}" name="Mittelwert Kommentare pro Video"/>
    <tableColumn id="23" xr3:uid="{A415A115-0780-4B52-B4D2-EE4096CD250F}" name="Median Kommentare pro Video"/>
    <tableColumn id="24" xr3:uid="{64CD6EE7-5E12-47D8-8CBC-4AA85B4D6D22}" name="Standardabweichung Kommentare pro Video"/>
    <tableColumn id="25" xr3:uid="{9FB1861B-54EA-4604-B115-4F114E37BE65}" name="Minimum Kommentare pro Video"/>
    <tableColumn id="26" xr3:uid="{D30E2C6F-0098-4055-8D8E-46E60C0D8E4C}" name="Nutzeranzahl absolut"/>
    <tableColumn id="27" xr3:uid="{B5F379B6-2BDF-4624-887C-7ACB94D228DF}" name="Nutzeranzahl relativ zum Korpus (%)"/>
    <tableColumn id="28" xr3:uid="{6544D6A8-1727-4A96-85CA-AE2DBA329DBC}" name="Gini Nutzerverteilung"/>
    <tableColumn id="29" xr3:uid="{480CC77A-0502-4CC5-9B33-699864DDC822}" name="Top 1 Nutzer absolut"/>
    <tableColumn id="30" xr3:uid="{590E3122-8955-41F2-BB88-33C2D08BCAA1}" name="Top 1 Nutzer Anteil (%)"/>
    <tableColumn id="31" xr3:uid="{EE262A04-2D22-4FE1-A49C-169E0705CDFF}" name="Top 5 Nutzer absolut"/>
    <tableColumn id="32" xr3:uid="{1B2AFBAF-6B78-4C24-AF95-B1565A852B6D}" name="Top 5 Nutzer Anteil (%)"/>
    <tableColumn id="33" xr3:uid="{078E5C2D-E050-4001-9C2E-441925F2D94F}" name="Top 10 Nutzer absolut"/>
    <tableColumn id="34" xr3:uid="{60B0BBE0-73B2-4363-9F66-6E6DBCA0DD79}" name="Top 10 Nutzer Anteil (%)"/>
    <tableColumn id="35" xr3:uid="{EF025161-C91A-4613-A464-B56B4299E08A}" name="Mittelwert Kommentare pro Nutzer"/>
    <tableColumn id="36" xr3:uid="{563CFDF1-1165-4034-AAE9-22A5BEE006F0}" name="Median Kommentare pro Nutzer"/>
    <tableColumn id="37" xr3:uid="{44A6FD8A-7380-48A6-97A3-6900F13DD27D}" name="Standardabweichung Kommentare pro Nutzer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67A394-8E5E-4925-8A48-DFF17FAAA0D3}" name="Tabelle4" displayName="Tabelle4" ref="A1:F33" totalsRowShown="0" headerRowDxfId="0" headerRowBorderDxfId="7" tableBorderDxfId="8" totalsRowBorderDxfId="6">
  <autoFilter ref="A1:F33" xr:uid="{5767A394-8E5E-4925-8A48-DFF17FAAA0D3}"/>
  <tableColumns count="6">
    <tableColumn id="1" xr3:uid="{51C1F86E-DF18-4F68-8A13-F7CA44C81A07}" name="Topic-Nr" dataDxfId="5"/>
    <tableColumn id="2" xr3:uid="{6680AFBD-51A6-4076-9CA4-2A11EF8D7814}" name="Topic-Name" dataDxfId="4"/>
    <tableColumn id="3" xr3:uid="{735051A8-8254-41C6-8E98-C6D5E2C61886}" name="Topic-Wörter" dataDxfId="3"/>
    <tableColumn id="4" xr3:uid="{77CD486B-6BEF-4334-AB06-4DEEE516CB7B}" name="Dokumente absolut" dataDxfId="2"/>
    <tableColumn id="5" xr3:uid="{59C4ACC0-27DB-4A8D-A059-979D1774923D}" name="Dokumente relativ (%)" dataDxfId="1"/>
    <tableColumn id="6" xr3:uid="{8CFF2FF7-8531-4CC1-992B-0E7877F2B523}" name="Spalte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51CAC7-FE37-4598-8372-56C115035E58}" name="Tabelle3" displayName="Tabelle3" ref="A1:G26" totalsRowShown="0" tableBorderDxfId="15">
  <autoFilter ref="A1:G26" xr:uid="{1B51CAC7-FE37-4598-8372-56C115035E58}"/>
  <tableColumns count="7">
    <tableColumn id="1" xr3:uid="{9EC33B46-C9A7-4176-88F4-E3BDB21C054F}" name="Spalte1" dataDxfId="9"/>
    <tableColumn id="2" xr3:uid="{6624BCDE-AEE3-48CB-ACB4-53D82DABD3F1}" name="Spalte2" dataDxfId="10"/>
    <tableColumn id="3" xr3:uid="{054B58B6-46E7-4FEC-938E-4CDC4D678D4E}" name="Spalte3" dataDxfId="14"/>
    <tableColumn id="4" xr3:uid="{2739FA80-AD78-4E75-B74B-6DAD862BEDD8}" name="Spalte4" dataDxfId="13"/>
    <tableColumn id="5" xr3:uid="{D154F47D-E36E-46A2-AAD2-CC15032A9E0D}" name="Spalte5" dataDxfId="12"/>
    <tableColumn id="6" xr3:uid="{BFA4D69C-AB1F-4DA8-A9A8-76CE1B99F3AD}" name="Spalte6" dataDxfId="11"/>
    <tableColumn id="7" xr3:uid="{675A189F-2CFC-43F3-AE34-BE73027FEB12}" name="Spalte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opLeftCell="A7" zoomScale="109" zoomScaleNormal="63" workbookViewId="0">
      <pane xSplit="1" topLeftCell="B1" activePane="topRight" state="frozen"/>
      <selection pane="topRight" activeCell="C33" sqref="C33"/>
    </sheetView>
  </sheetViews>
  <sheetFormatPr baseColWidth="10" defaultColWidth="9.140625" defaultRowHeight="15" x14ac:dyDescent="0.25"/>
  <cols>
    <col min="1" max="1" width="10.7109375" customWidth="1"/>
    <col min="2" max="2" width="19.7109375" style="3" customWidth="1"/>
    <col min="3" max="3" width="24" style="3" customWidth="1"/>
    <col min="4" max="4" width="20.5703125" customWidth="1"/>
    <col min="5" max="5" width="23.140625" customWidth="1"/>
    <col min="6" max="6" width="18.85546875" customWidth="1"/>
    <col min="7" max="7" width="18.7109375" customWidth="1"/>
    <col min="8" max="8" width="14" customWidth="1"/>
    <col min="9" max="9" width="16.7109375" customWidth="1"/>
    <col min="10" max="10" width="13.85546875" customWidth="1"/>
    <col min="11" max="11" width="25.5703125" customWidth="1"/>
    <col min="12" max="12" width="10.7109375" customWidth="1"/>
    <col min="13" max="13" width="21.140625" customWidth="1"/>
    <col min="14" max="14" width="34.42578125" customWidth="1"/>
    <col min="15" max="15" width="20.5703125" customWidth="1"/>
    <col min="16" max="16" width="22.85546875" customWidth="1"/>
    <col min="17" max="17" width="21.42578125" customWidth="1"/>
    <col min="18" max="18" width="23.7109375" customWidth="1"/>
    <col min="19" max="19" width="22.42578125" customWidth="1"/>
    <col min="20" max="20" width="24.7109375" customWidth="1"/>
    <col min="21" max="21" width="21.7109375" customWidth="1"/>
    <col min="22" max="22" width="34" customWidth="1"/>
    <col min="23" max="23" width="31.140625" customWidth="1"/>
    <col min="24" max="24" width="42.85546875" customWidth="1"/>
    <col min="25" max="25" width="33" customWidth="1"/>
    <col min="26" max="26" width="21.85546875" customWidth="1"/>
    <col min="27" max="27" width="35.140625" customWidth="1"/>
    <col min="28" max="28" width="22.42578125" customWidth="1"/>
    <col min="29" max="29" width="21.28515625" customWidth="1"/>
    <col min="30" max="30" width="23.5703125" customWidth="1"/>
    <col min="31" max="31" width="21.28515625" customWidth="1"/>
    <col min="32" max="32" width="23.5703125" customWidth="1"/>
    <col min="33" max="33" width="22.28515625" customWidth="1"/>
    <col min="34" max="34" width="24.5703125" customWidth="1"/>
    <col min="35" max="35" width="34.7109375" customWidth="1"/>
    <col min="36" max="36" width="31.85546875" customWidth="1"/>
    <col min="37" max="37" width="43.5703125" customWidth="1"/>
  </cols>
  <sheetData>
    <row r="1" spans="1:3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75" x14ac:dyDescent="0.25">
      <c r="A2">
        <v>1</v>
      </c>
      <c r="B2" s="3" t="s">
        <v>37</v>
      </c>
      <c r="C2" s="3" t="s">
        <v>38</v>
      </c>
      <c r="D2">
        <v>1365</v>
      </c>
      <c r="E2">
        <v>2.9849999999999999</v>
      </c>
      <c r="F2">
        <v>16.597000000000001</v>
      </c>
      <c r="G2">
        <v>4.4850000000000003</v>
      </c>
      <c r="H2">
        <v>4</v>
      </c>
      <c r="I2">
        <v>42.655999999999999</v>
      </c>
      <c r="J2">
        <v>23</v>
      </c>
      <c r="K2">
        <v>43.393999999999998</v>
      </c>
      <c r="L2">
        <v>0.49</v>
      </c>
      <c r="M2">
        <v>479</v>
      </c>
      <c r="N2">
        <v>16.597000000000001</v>
      </c>
      <c r="O2">
        <v>114</v>
      </c>
      <c r="P2">
        <v>8.3520000000000003</v>
      </c>
      <c r="Q2">
        <v>199</v>
      </c>
      <c r="R2">
        <v>14.579000000000001</v>
      </c>
      <c r="S2">
        <v>266</v>
      </c>
      <c r="T2">
        <v>19.486999999999998</v>
      </c>
      <c r="U2">
        <v>0.51100000000000001</v>
      </c>
      <c r="V2">
        <v>2.85</v>
      </c>
      <c r="W2">
        <v>1</v>
      </c>
      <c r="X2">
        <v>5.93</v>
      </c>
      <c r="Y2">
        <v>1</v>
      </c>
      <c r="Z2">
        <v>1017</v>
      </c>
      <c r="AA2">
        <v>4.4850000000000003</v>
      </c>
      <c r="AB2">
        <v>0.23899999999999999</v>
      </c>
      <c r="AC2">
        <v>52</v>
      </c>
      <c r="AD2">
        <v>3.81</v>
      </c>
      <c r="AE2">
        <v>122</v>
      </c>
      <c r="AF2">
        <v>8.9380000000000006</v>
      </c>
      <c r="AG2">
        <v>157</v>
      </c>
      <c r="AH2">
        <v>11.502000000000001</v>
      </c>
      <c r="AI2">
        <v>1.3420000000000001</v>
      </c>
      <c r="AJ2">
        <v>1</v>
      </c>
      <c r="AK2">
        <v>2.27</v>
      </c>
    </row>
    <row r="3" spans="1:37" ht="75" x14ac:dyDescent="0.25">
      <c r="A3">
        <v>3</v>
      </c>
      <c r="B3" s="3" t="s">
        <v>39</v>
      </c>
      <c r="C3" s="3" t="s">
        <v>40</v>
      </c>
      <c r="D3">
        <v>886</v>
      </c>
      <c r="E3">
        <v>1.9370000000000001</v>
      </c>
      <c r="F3">
        <v>14.31</v>
      </c>
      <c r="G3">
        <v>3.03</v>
      </c>
      <c r="H3">
        <v>2</v>
      </c>
      <c r="I3">
        <v>28.581</v>
      </c>
      <c r="J3">
        <v>20</v>
      </c>
      <c r="K3">
        <v>26.149000000000001</v>
      </c>
      <c r="L3">
        <v>0.42599999999999999</v>
      </c>
      <c r="M3">
        <v>413</v>
      </c>
      <c r="N3">
        <v>14.31</v>
      </c>
      <c r="O3">
        <v>132</v>
      </c>
      <c r="P3">
        <v>14.898</v>
      </c>
      <c r="Q3">
        <v>185</v>
      </c>
      <c r="R3">
        <v>20.88</v>
      </c>
      <c r="S3">
        <v>227</v>
      </c>
      <c r="T3">
        <v>25.620999999999999</v>
      </c>
      <c r="U3">
        <v>0.45100000000000001</v>
      </c>
      <c r="V3">
        <v>2.145</v>
      </c>
      <c r="W3">
        <v>1</v>
      </c>
      <c r="X3">
        <v>6.6619999999999999</v>
      </c>
      <c r="Y3">
        <v>1</v>
      </c>
      <c r="Z3">
        <v>687</v>
      </c>
      <c r="AA3">
        <v>3.03</v>
      </c>
      <c r="AB3">
        <v>0.20799999999999999</v>
      </c>
      <c r="AC3">
        <v>12</v>
      </c>
      <c r="AD3">
        <v>1.3540000000000001</v>
      </c>
      <c r="AE3">
        <v>48</v>
      </c>
      <c r="AF3">
        <v>5.4180000000000001</v>
      </c>
      <c r="AG3">
        <v>79</v>
      </c>
      <c r="AH3">
        <v>8.9160000000000004</v>
      </c>
      <c r="AI3">
        <v>1.29</v>
      </c>
      <c r="AJ3">
        <v>1</v>
      </c>
      <c r="AK3">
        <v>1.069</v>
      </c>
    </row>
    <row r="4" spans="1:37" ht="75" x14ac:dyDescent="0.25">
      <c r="A4">
        <v>7</v>
      </c>
      <c r="B4" s="3" t="s">
        <v>41</v>
      </c>
      <c r="C4" s="3" t="s">
        <v>42</v>
      </c>
      <c r="D4">
        <v>555</v>
      </c>
      <c r="E4">
        <v>1.214</v>
      </c>
      <c r="F4">
        <v>11.157</v>
      </c>
      <c r="G4">
        <v>2.1739999999999999</v>
      </c>
      <c r="H4">
        <v>0</v>
      </c>
      <c r="I4">
        <v>17.344000000000001</v>
      </c>
      <c r="J4">
        <v>12.5</v>
      </c>
      <c r="K4">
        <v>12.266999999999999</v>
      </c>
      <c r="L4">
        <v>0.38600000000000001</v>
      </c>
      <c r="M4">
        <v>322</v>
      </c>
      <c r="N4">
        <v>11.157</v>
      </c>
      <c r="O4">
        <v>35</v>
      </c>
      <c r="P4">
        <v>6.306</v>
      </c>
      <c r="Q4">
        <v>85</v>
      </c>
      <c r="R4">
        <v>15.315</v>
      </c>
      <c r="S4">
        <v>116</v>
      </c>
      <c r="T4">
        <v>20.901</v>
      </c>
      <c r="U4">
        <v>0.35399999999999998</v>
      </c>
      <c r="V4">
        <v>1.724</v>
      </c>
      <c r="W4">
        <v>1</v>
      </c>
      <c r="X4">
        <v>2.5190000000000001</v>
      </c>
      <c r="Y4">
        <v>1</v>
      </c>
      <c r="Z4">
        <v>493</v>
      </c>
      <c r="AA4">
        <v>2.1739999999999999</v>
      </c>
      <c r="AB4">
        <v>0.107</v>
      </c>
      <c r="AC4">
        <v>9</v>
      </c>
      <c r="AD4">
        <v>1.6220000000000001</v>
      </c>
      <c r="AE4">
        <v>29</v>
      </c>
      <c r="AF4">
        <v>5.2249999999999996</v>
      </c>
      <c r="AG4">
        <v>48</v>
      </c>
      <c r="AH4">
        <v>8.6489999999999991</v>
      </c>
      <c r="AI4">
        <v>1.1259999999999999</v>
      </c>
      <c r="AJ4">
        <v>1</v>
      </c>
      <c r="AK4">
        <v>0.61199999999999999</v>
      </c>
    </row>
    <row r="5" spans="1:37" ht="75" x14ac:dyDescent="0.25">
      <c r="A5">
        <v>9</v>
      </c>
      <c r="B5" s="3" t="s">
        <v>43</v>
      </c>
      <c r="C5" s="3" t="s">
        <v>44</v>
      </c>
      <c r="D5">
        <v>551</v>
      </c>
      <c r="E5">
        <v>1.2050000000000001</v>
      </c>
      <c r="F5">
        <v>10.568</v>
      </c>
      <c r="G5">
        <v>2.02</v>
      </c>
      <c r="H5">
        <v>0</v>
      </c>
      <c r="I5">
        <v>17.774000000000001</v>
      </c>
      <c r="J5">
        <v>17</v>
      </c>
      <c r="K5">
        <v>11.577999999999999</v>
      </c>
      <c r="L5">
        <v>0.36199999999999999</v>
      </c>
      <c r="M5">
        <v>305</v>
      </c>
      <c r="N5">
        <v>10.568</v>
      </c>
      <c r="O5">
        <v>15</v>
      </c>
      <c r="P5">
        <v>2.722</v>
      </c>
      <c r="Q5">
        <v>58</v>
      </c>
      <c r="R5">
        <v>10.526</v>
      </c>
      <c r="S5">
        <v>95</v>
      </c>
      <c r="T5">
        <v>17.241</v>
      </c>
      <c r="U5">
        <v>0.35799999999999998</v>
      </c>
      <c r="V5">
        <v>1.8069999999999999</v>
      </c>
      <c r="W5">
        <v>1</v>
      </c>
      <c r="X5">
        <v>1.79</v>
      </c>
      <c r="Y5">
        <v>1</v>
      </c>
      <c r="Z5">
        <v>458</v>
      </c>
      <c r="AA5">
        <v>2.02</v>
      </c>
      <c r="AB5">
        <v>0.16</v>
      </c>
      <c r="AC5">
        <v>21</v>
      </c>
      <c r="AD5">
        <v>3.8109999999999999</v>
      </c>
      <c r="AE5">
        <v>48</v>
      </c>
      <c r="AF5">
        <v>8.7110000000000003</v>
      </c>
      <c r="AG5">
        <v>66</v>
      </c>
      <c r="AH5">
        <v>11.978</v>
      </c>
      <c r="AI5">
        <v>1.2030000000000001</v>
      </c>
      <c r="AJ5">
        <v>1</v>
      </c>
      <c r="AK5">
        <v>1.167</v>
      </c>
    </row>
    <row r="6" spans="1:37" ht="105" x14ac:dyDescent="0.25">
      <c r="A6">
        <v>10</v>
      </c>
      <c r="B6" s="3" t="s">
        <v>45</v>
      </c>
      <c r="C6" s="3" t="s">
        <v>46</v>
      </c>
      <c r="D6">
        <v>519</v>
      </c>
      <c r="E6">
        <v>1.135</v>
      </c>
      <c r="F6">
        <v>9.4939999999999998</v>
      </c>
      <c r="G6">
        <v>1.9359999999999999</v>
      </c>
      <c r="H6">
        <v>3</v>
      </c>
      <c r="I6">
        <v>17.3</v>
      </c>
      <c r="J6">
        <v>12</v>
      </c>
      <c r="K6">
        <v>21.669</v>
      </c>
      <c r="L6">
        <v>0.53500000000000003</v>
      </c>
      <c r="M6">
        <v>274</v>
      </c>
      <c r="N6">
        <v>9.4939999999999998</v>
      </c>
      <c r="O6">
        <v>29</v>
      </c>
      <c r="P6">
        <v>5.5880000000000001</v>
      </c>
      <c r="Q6">
        <v>90</v>
      </c>
      <c r="R6">
        <v>17.341000000000001</v>
      </c>
      <c r="S6">
        <v>134</v>
      </c>
      <c r="T6">
        <v>25.818999999999999</v>
      </c>
      <c r="U6">
        <v>0.40200000000000002</v>
      </c>
      <c r="V6">
        <v>1.8939999999999999</v>
      </c>
      <c r="W6">
        <v>1</v>
      </c>
      <c r="X6">
        <v>2.7050000000000001</v>
      </c>
      <c r="Y6">
        <v>1</v>
      </c>
      <c r="Z6">
        <v>439</v>
      </c>
      <c r="AA6">
        <v>1.9359999999999999</v>
      </c>
      <c r="AB6">
        <v>0.14099999999999999</v>
      </c>
      <c r="AC6">
        <v>6</v>
      </c>
      <c r="AD6">
        <v>1.1559999999999999</v>
      </c>
      <c r="AE6">
        <v>25</v>
      </c>
      <c r="AF6">
        <v>4.8170000000000002</v>
      </c>
      <c r="AG6">
        <v>43</v>
      </c>
      <c r="AH6">
        <v>8.2850000000000001</v>
      </c>
      <c r="AI6">
        <v>1.1819999999999999</v>
      </c>
      <c r="AJ6">
        <v>1</v>
      </c>
      <c r="AK6">
        <v>0.60699999999999998</v>
      </c>
    </row>
    <row r="7" spans="1:37" ht="105" x14ac:dyDescent="0.25">
      <c r="A7">
        <v>12</v>
      </c>
      <c r="B7" s="3" t="s">
        <v>47</v>
      </c>
      <c r="C7" s="3" t="s">
        <v>48</v>
      </c>
      <c r="D7">
        <v>463</v>
      </c>
      <c r="E7">
        <v>1.012</v>
      </c>
      <c r="F7">
        <v>7.8310000000000004</v>
      </c>
      <c r="G7">
        <v>1.6579999999999999</v>
      </c>
      <c r="H7">
        <v>4</v>
      </c>
      <c r="I7">
        <v>14.935</v>
      </c>
      <c r="J7">
        <v>6</v>
      </c>
      <c r="K7">
        <v>25.276</v>
      </c>
      <c r="L7">
        <v>0.626</v>
      </c>
      <c r="M7">
        <v>226</v>
      </c>
      <c r="N7">
        <v>7.8310000000000004</v>
      </c>
      <c r="O7">
        <v>27</v>
      </c>
      <c r="P7">
        <v>5.8319999999999999</v>
      </c>
      <c r="Q7">
        <v>72</v>
      </c>
      <c r="R7">
        <v>15.551</v>
      </c>
      <c r="S7">
        <v>116</v>
      </c>
      <c r="T7">
        <v>25.053999999999998</v>
      </c>
      <c r="U7">
        <v>0.42</v>
      </c>
      <c r="V7">
        <v>2.0489999999999999</v>
      </c>
      <c r="W7">
        <v>1</v>
      </c>
      <c r="X7">
        <v>2.6030000000000002</v>
      </c>
      <c r="Y7">
        <v>1</v>
      </c>
      <c r="Z7">
        <v>376</v>
      </c>
      <c r="AA7">
        <v>1.6579999999999999</v>
      </c>
      <c r="AB7">
        <v>0.17100000000000001</v>
      </c>
      <c r="AC7">
        <v>7</v>
      </c>
      <c r="AD7">
        <v>1.512</v>
      </c>
      <c r="AE7">
        <v>30</v>
      </c>
      <c r="AF7">
        <v>6.4790000000000001</v>
      </c>
      <c r="AG7">
        <v>51</v>
      </c>
      <c r="AH7">
        <v>11.015000000000001</v>
      </c>
      <c r="AI7">
        <v>1.2310000000000001</v>
      </c>
      <c r="AJ7">
        <v>1</v>
      </c>
      <c r="AK7">
        <v>0.76700000000000002</v>
      </c>
    </row>
    <row r="8" spans="1:37" ht="75" x14ac:dyDescent="0.25">
      <c r="A8">
        <v>16</v>
      </c>
      <c r="B8" s="3" t="s">
        <v>49</v>
      </c>
      <c r="C8" s="3" t="s">
        <v>50</v>
      </c>
      <c r="D8">
        <v>403</v>
      </c>
      <c r="E8">
        <v>0.88100000000000001</v>
      </c>
      <c r="F8">
        <v>7.6230000000000002</v>
      </c>
      <c r="G8">
        <v>1.583</v>
      </c>
      <c r="H8">
        <v>0</v>
      </c>
      <c r="I8">
        <v>13</v>
      </c>
      <c r="J8">
        <v>13</v>
      </c>
      <c r="K8">
        <v>8.3510000000000009</v>
      </c>
      <c r="L8">
        <v>0.35199999999999998</v>
      </c>
      <c r="M8">
        <v>220</v>
      </c>
      <c r="N8">
        <v>7.6230000000000002</v>
      </c>
      <c r="O8">
        <v>23</v>
      </c>
      <c r="P8">
        <v>5.7069999999999999</v>
      </c>
      <c r="Q8">
        <v>68</v>
      </c>
      <c r="R8">
        <v>16.873000000000001</v>
      </c>
      <c r="S8">
        <v>103</v>
      </c>
      <c r="T8">
        <v>25.558</v>
      </c>
      <c r="U8">
        <v>0.38700000000000001</v>
      </c>
      <c r="V8">
        <v>1.8320000000000001</v>
      </c>
      <c r="W8">
        <v>1</v>
      </c>
      <c r="X8">
        <v>2.302</v>
      </c>
      <c r="Y8">
        <v>1</v>
      </c>
      <c r="Z8">
        <v>359</v>
      </c>
      <c r="AA8">
        <v>1.583</v>
      </c>
      <c r="AB8">
        <v>0.10299999999999999</v>
      </c>
      <c r="AC8">
        <v>5</v>
      </c>
      <c r="AD8">
        <v>1.2410000000000001</v>
      </c>
      <c r="AE8">
        <v>21</v>
      </c>
      <c r="AF8">
        <v>5.2110000000000003</v>
      </c>
      <c r="AG8">
        <v>35</v>
      </c>
      <c r="AH8">
        <v>8.6850000000000005</v>
      </c>
      <c r="AI8">
        <v>1.123</v>
      </c>
      <c r="AJ8">
        <v>1</v>
      </c>
      <c r="AK8">
        <v>0.49199999999999999</v>
      </c>
    </row>
    <row r="9" spans="1:37" ht="90" x14ac:dyDescent="0.25">
      <c r="A9">
        <v>17</v>
      </c>
      <c r="B9" s="3" t="s">
        <v>51</v>
      </c>
      <c r="C9" s="3" t="s">
        <v>52</v>
      </c>
      <c r="D9">
        <v>391</v>
      </c>
      <c r="E9">
        <v>0.85499999999999998</v>
      </c>
      <c r="F9">
        <v>7.173</v>
      </c>
      <c r="G9">
        <v>1.319</v>
      </c>
      <c r="H9">
        <v>4</v>
      </c>
      <c r="I9">
        <v>13.032999999999999</v>
      </c>
      <c r="J9">
        <v>7.5</v>
      </c>
      <c r="K9">
        <v>19.757999999999999</v>
      </c>
      <c r="L9">
        <v>0.52100000000000002</v>
      </c>
      <c r="M9">
        <v>207</v>
      </c>
      <c r="N9">
        <v>7.173</v>
      </c>
      <c r="O9">
        <v>16</v>
      </c>
      <c r="P9">
        <v>4.0919999999999996</v>
      </c>
      <c r="Q9">
        <v>53</v>
      </c>
      <c r="R9">
        <v>13.555</v>
      </c>
      <c r="S9">
        <v>83</v>
      </c>
      <c r="T9">
        <v>21.228000000000002</v>
      </c>
      <c r="U9">
        <v>0.375</v>
      </c>
      <c r="V9">
        <v>1.889</v>
      </c>
      <c r="W9">
        <v>1</v>
      </c>
      <c r="X9">
        <v>1.87</v>
      </c>
      <c r="Y9">
        <v>1</v>
      </c>
      <c r="Z9">
        <v>299</v>
      </c>
      <c r="AA9">
        <v>1.319</v>
      </c>
      <c r="AB9">
        <v>0.22</v>
      </c>
      <c r="AC9">
        <v>38</v>
      </c>
      <c r="AD9">
        <v>9.7189999999999994</v>
      </c>
      <c r="AE9">
        <v>56</v>
      </c>
      <c r="AF9">
        <v>14.321999999999999</v>
      </c>
      <c r="AG9">
        <v>71</v>
      </c>
      <c r="AH9">
        <v>18.158999999999999</v>
      </c>
      <c r="AI9">
        <v>1.3080000000000001</v>
      </c>
      <c r="AJ9">
        <v>1</v>
      </c>
      <c r="AK9">
        <v>2.2069999999999999</v>
      </c>
    </row>
    <row r="10" spans="1:37" ht="120" x14ac:dyDescent="0.25">
      <c r="A10">
        <v>19</v>
      </c>
      <c r="B10" s="3" t="s">
        <v>53</v>
      </c>
      <c r="C10" s="3" t="s">
        <v>54</v>
      </c>
      <c r="D10">
        <v>319</v>
      </c>
      <c r="E10">
        <v>0.69799999999999995</v>
      </c>
      <c r="F10">
        <v>8.2469999999999999</v>
      </c>
      <c r="G10">
        <v>1.1950000000000001</v>
      </c>
      <c r="H10">
        <v>1</v>
      </c>
      <c r="I10">
        <v>10.29</v>
      </c>
      <c r="J10">
        <v>10</v>
      </c>
      <c r="K10">
        <v>6.7539999999999996</v>
      </c>
      <c r="L10">
        <v>0.312</v>
      </c>
      <c r="M10">
        <v>238</v>
      </c>
      <c r="N10">
        <v>8.2469999999999999</v>
      </c>
      <c r="O10">
        <v>12</v>
      </c>
      <c r="P10">
        <v>3.762</v>
      </c>
      <c r="Q10">
        <v>35</v>
      </c>
      <c r="R10">
        <v>10.972</v>
      </c>
      <c r="S10">
        <v>52</v>
      </c>
      <c r="T10">
        <v>16.300999999999998</v>
      </c>
      <c r="U10">
        <v>0.223</v>
      </c>
      <c r="V10">
        <v>1.34</v>
      </c>
      <c r="W10">
        <v>1</v>
      </c>
      <c r="X10">
        <v>1.1160000000000001</v>
      </c>
      <c r="Y10">
        <v>1</v>
      </c>
      <c r="Z10">
        <v>271</v>
      </c>
      <c r="AA10">
        <v>1.1950000000000001</v>
      </c>
      <c r="AB10">
        <v>0.13900000000000001</v>
      </c>
      <c r="AC10">
        <v>7</v>
      </c>
      <c r="AD10">
        <v>2.194</v>
      </c>
      <c r="AE10">
        <v>25</v>
      </c>
      <c r="AF10">
        <v>7.8369999999999997</v>
      </c>
      <c r="AG10">
        <v>39</v>
      </c>
      <c r="AH10">
        <v>12.226000000000001</v>
      </c>
      <c r="AI10">
        <v>1.177</v>
      </c>
      <c r="AJ10">
        <v>1</v>
      </c>
      <c r="AK10">
        <v>0.66</v>
      </c>
    </row>
    <row r="11" spans="1:37" ht="90" x14ac:dyDescent="0.25">
      <c r="A11">
        <v>21</v>
      </c>
      <c r="B11" s="3" t="s">
        <v>55</v>
      </c>
      <c r="C11" s="3" t="s">
        <v>56</v>
      </c>
      <c r="D11">
        <v>293</v>
      </c>
      <c r="E11">
        <v>0.64100000000000001</v>
      </c>
      <c r="F11">
        <v>5.3010000000000002</v>
      </c>
      <c r="G11">
        <v>0.94399999999999995</v>
      </c>
      <c r="H11">
        <v>2</v>
      </c>
      <c r="I11">
        <v>10.464</v>
      </c>
      <c r="J11">
        <v>4.5</v>
      </c>
      <c r="K11">
        <v>16.056999999999999</v>
      </c>
      <c r="L11">
        <v>0.59699999999999998</v>
      </c>
      <c r="M11">
        <v>153</v>
      </c>
      <c r="N11">
        <v>5.3010000000000002</v>
      </c>
      <c r="O11">
        <v>23</v>
      </c>
      <c r="P11">
        <v>7.85</v>
      </c>
      <c r="Q11">
        <v>57</v>
      </c>
      <c r="R11">
        <v>19.454000000000001</v>
      </c>
      <c r="S11">
        <v>88</v>
      </c>
      <c r="T11">
        <v>30.033999999999999</v>
      </c>
      <c r="U11">
        <v>0.40100000000000002</v>
      </c>
      <c r="V11">
        <v>1.915</v>
      </c>
      <c r="W11">
        <v>1</v>
      </c>
      <c r="X11">
        <v>2.37</v>
      </c>
      <c r="Y11">
        <v>1</v>
      </c>
      <c r="Z11">
        <v>214</v>
      </c>
      <c r="AA11">
        <v>0.94399999999999995</v>
      </c>
      <c r="AB11">
        <v>0.247</v>
      </c>
      <c r="AC11">
        <v>23</v>
      </c>
      <c r="AD11">
        <v>7.85</v>
      </c>
      <c r="AE11">
        <v>47</v>
      </c>
      <c r="AF11">
        <v>16.041</v>
      </c>
      <c r="AG11">
        <v>63</v>
      </c>
      <c r="AH11">
        <v>21.501999999999999</v>
      </c>
      <c r="AI11">
        <v>1.369</v>
      </c>
      <c r="AJ11">
        <v>1</v>
      </c>
      <c r="AK11">
        <v>1.6950000000000001</v>
      </c>
    </row>
    <row r="12" spans="1:37" ht="105" x14ac:dyDescent="0.25">
      <c r="A12">
        <v>25</v>
      </c>
      <c r="B12" s="3" t="s">
        <v>57</v>
      </c>
      <c r="C12" s="3" t="s">
        <v>58</v>
      </c>
      <c r="D12">
        <v>240</v>
      </c>
      <c r="E12">
        <v>0.52500000000000002</v>
      </c>
      <c r="F12">
        <v>6.1680000000000001</v>
      </c>
      <c r="G12">
        <v>0.9</v>
      </c>
      <c r="H12">
        <v>2</v>
      </c>
      <c r="I12">
        <v>7.742</v>
      </c>
      <c r="J12">
        <v>6</v>
      </c>
      <c r="K12">
        <v>5.3970000000000002</v>
      </c>
      <c r="L12">
        <v>0.34699999999999998</v>
      </c>
      <c r="M12">
        <v>178</v>
      </c>
      <c r="N12">
        <v>6.1680000000000001</v>
      </c>
      <c r="O12">
        <v>10</v>
      </c>
      <c r="P12">
        <v>4.1669999999999998</v>
      </c>
      <c r="Q12">
        <v>32</v>
      </c>
      <c r="R12">
        <v>13.333</v>
      </c>
      <c r="S12">
        <v>48</v>
      </c>
      <c r="T12">
        <v>20</v>
      </c>
      <c r="U12">
        <v>0.22700000000000001</v>
      </c>
      <c r="V12">
        <v>1.3480000000000001</v>
      </c>
      <c r="W12">
        <v>1</v>
      </c>
      <c r="X12">
        <v>1.048</v>
      </c>
      <c r="Y12">
        <v>1</v>
      </c>
      <c r="Z12">
        <v>204</v>
      </c>
      <c r="AA12">
        <v>0.9</v>
      </c>
      <c r="AB12">
        <v>0.14599999999999999</v>
      </c>
      <c r="AC12">
        <v>19</v>
      </c>
      <c r="AD12">
        <v>7.9169999999999998</v>
      </c>
      <c r="AE12">
        <v>33</v>
      </c>
      <c r="AF12">
        <v>13.75</v>
      </c>
      <c r="AG12">
        <v>43</v>
      </c>
      <c r="AH12">
        <v>17.917000000000002</v>
      </c>
      <c r="AI12">
        <v>1.1759999999999999</v>
      </c>
      <c r="AJ12">
        <v>1</v>
      </c>
      <c r="AK12">
        <v>1.32</v>
      </c>
    </row>
    <row r="13" spans="1:37" ht="105" x14ac:dyDescent="0.25">
      <c r="A13">
        <v>26</v>
      </c>
      <c r="B13" s="3" t="s">
        <v>59</v>
      </c>
      <c r="C13" s="3" t="s">
        <v>60</v>
      </c>
      <c r="D13">
        <v>237</v>
      </c>
      <c r="E13">
        <v>0.51800000000000002</v>
      </c>
      <c r="F13">
        <v>6.0979999999999999</v>
      </c>
      <c r="G13">
        <v>0.9</v>
      </c>
      <c r="H13">
        <v>1</v>
      </c>
      <c r="I13">
        <v>7.6449999999999996</v>
      </c>
      <c r="J13">
        <v>6</v>
      </c>
      <c r="K13">
        <v>5.9640000000000004</v>
      </c>
      <c r="L13">
        <v>0.38900000000000001</v>
      </c>
      <c r="M13">
        <v>176</v>
      </c>
      <c r="N13">
        <v>6.0979999999999999</v>
      </c>
      <c r="O13">
        <v>6</v>
      </c>
      <c r="P13">
        <v>2.532</v>
      </c>
      <c r="Q13">
        <v>22</v>
      </c>
      <c r="R13">
        <v>9.2829999999999995</v>
      </c>
      <c r="S13">
        <v>37</v>
      </c>
      <c r="T13">
        <v>15.612</v>
      </c>
      <c r="U13">
        <v>0.214</v>
      </c>
      <c r="V13">
        <v>1.347</v>
      </c>
      <c r="W13">
        <v>1</v>
      </c>
      <c r="X13">
        <v>0.77</v>
      </c>
      <c r="Y13">
        <v>1</v>
      </c>
      <c r="Z13">
        <v>204</v>
      </c>
      <c r="AA13">
        <v>0.9</v>
      </c>
      <c r="AB13">
        <v>0.13400000000000001</v>
      </c>
      <c r="AC13">
        <v>11</v>
      </c>
      <c r="AD13">
        <v>4.641</v>
      </c>
      <c r="AE13">
        <v>29</v>
      </c>
      <c r="AF13">
        <v>12.236000000000001</v>
      </c>
      <c r="AG13">
        <v>41</v>
      </c>
      <c r="AH13">
        <v>17.3</v>
      </c>
      <c r="AI13">
        <v>1.1619999999999999</v>
      </c>
      <c r="AJ13">
        <v>1</v>
      </c>
      <c r="AK13">
        <v>0.88700000000000001</v>
      </c>
    </row>
    <row r="14" spans="1:37" ht="75" x14ac:dyDescent="0.25">
      <c r="A14">
        <v>28</v>
      </c>
      <c r="B14" s="3" t="s">
        <v>61</v>
      </c>
      <c r="C14" s="3" t="s">
        <v>62</v>
      </c>
      <c r="D14">
        <v>216</v>
      </c>
      <c r="E14">
        <v>0.47199999999999998</v>
      </c>
      <c r="F14">
        <v>5.4749999999999996</v>
      </c>
      <c r="G14">
        <v>0.66600000000000004</v>
      </c>
      <c r="H14">
        <v>2</v>
      </c>
      <c r="I14">
        <v>7.2</v>
      </c>
      <c r="J14">
        <v>5.5</v>
      </c>
      <c r="K14">
        <v>5.5490000000000004</v>
      </c>
      <c r="L14">
        <v>0.38600000000000001</v>
      </c>
      <c r="M14">
        <v>158</v>
      </c>
      <c r="N14">
        <v>5.4749999999999996</v>
      </c>
      <c r="O14">
        <v>15</v>
      </c>
      <c r="P14">
        <v>6.944</v>
      </c>
      <c r="Q14">
        <v>40</v>
      </c>
      <c r="R14">
        <v>18.518999999999998</v>
      </c>
      <c r="S14">
        <v>52</v>
      </c>
      <c r="T14">
        <v>24.074000000000002</v>
      </c>
      <c r="U14">
        <v>0.245</v>
      </c>
      <c r="V14">
        <v>1.367</v>
      </c>
      <c r="W14">
        <v>1</v>
      </c>
      <c r="X14">
        <v>1.486</v>
      </c>
      <c r="Y14">
        <v>1</v>
      </c>
      <c r="Z14">
        <v>151</v>
      </c>
      <c r="AA14">
        <v>0.66600000000000004</v>
      </c>
      <c r="AB14">
        <v>0.29499999999999998</v>
      </c>
      <c r="AC14">
        <v>38</v>
      </c>
      <c r="AD14">
        <v>17.593</v>
      </c>
      <c r="AE14">
        <v>66</v>
      </c>
      <c r="AF14">
        <v>30.556000000000001</v>
      </c>
      <c r="AG14">
        <v>75</v>
      </c>
      <c r="AH14">
        <v>34.722000000000001</v>
      </c>
      <c r="AI14">
        <v>1.43</v>
      </c>
      <c r="AJ14">
        <v>1</v>
      </c>
      <c r="AK14">
        <v>3.4169999999999998</v>
      </c>
    </row>
    <row r="15" spans="1:37" ht="75" x14ac:dyDescent="0.25">
      <c r="A15">
        <v>30</v>
      </c>
      <c r="B15" s="3" t="s">
        <v>63</v>
      </c>
      <c r="C15" s="3" t="s">
        <v>64</v>
      </c>
      <c r="D15">
        <v>197</v>
      </c>
      <c r="E15">
        <v>0.43099999999999999</v>
      </c>
      <c r="F15">
        <v>4.92</v>
      </c>
      <c r="G15">
        <v>0.68799999999999994</v>
      </c>
      <c r="H15">
        <v>4</v>
      </c>
      <c r="I15">
        <v>6.3550000000000004</v>
      </c>
      <c r="J15">
        <v>5</v>
      </c>
      <c r="K15">
        <v>4.1189999999999998</v>
      </c>
      <c r="L15">
        <v>0.33</v>
      </c>
      <c r="M15">
        <v>142</v>
      </c>
      <c r="N15">
        <v>4.92</v>
      </c>
      <c r="O15">
        <v>7</v>
      </c>
      <c r="P15">
        <v>3.5529999999999999</v>
      </c>
      <c r="Q15">
        <v>23</v>
      </c>
      <c r="R15">
        <v>11.675000000000001</v>
      </c>
      <c r="S15">
        <v>38</v>
      </c>
      <c r="T15">
        <v>19.289000000000001</v>
      </c>
      <c r="U15">
        <v>0.22900000000000001</v>
      </c>
      <c r="V15">
        <v>1.387</v>
      </c>
      <c r="W15">
        <v>1</v>
      </c>
      <c r="X15">
        <v>0.85799999999999998</v>
      </c>
      <c r="Y15">
        <v>1</v>
      </c>
      <c r="Z15">
        <v>156</v>
      </c>
      <c r="AA15">
        <v>0.68799999999999994</v>
      </c>
      <c r="AB15">
        <v>0.19700000000000001</v>
      </c>
      <c r="AC15">
        <v>16</v>
      </c>
      <c r="AD15">
        <v>8.1219999999999999</v>
      </c>
      <c r="AE15">
        <v>34</v>
      </c>
      <c r="AF15">
        <v>17.259</v>
      </c>
      <c r="AG15">
        <v>44</v>
      </c>
      <c r="AH15">
        <v>22.335000000000001</v>
      </c>
      <c r="AI15">
        <v>1.2629999999999999</v>
      </c>
      <c r="AJ15">
        <v>1</v>
      </c>
      <c r="AK15">
        <v>1.359</v>
      </c>
    </row>
    <row r="16" spans="1:37" ht="75" x14ac:dyDescent="0.25">
      <c r="A16">
        <v>35</v>
      </c>
      <c r="B16" s="3" t="s">
        <v>65</v>
      </c>
      <c r="C16" s="3" t="s">
        <v>66</v>
      </c>
      <c r="D16">
        <v>165</v>
      </c>
      <c r="E16">
        <v>0.36099999999999999</v>
      </c>
      <c r="F16">
        <v>2.044</v>
      </c>
      <c r="G16">
        <v>0.68400000000000005</v>
      </c>
      <c r="H16">
        <v>3</v>
      </c>
      <c r="I16">
        <v>6.875</v>
      </c>
      <c r="J16">
        <v>2</v>
      </c>
      <c r="K16">
        <v>17.991</v>
      </c>
      <c r="L16">
        <v>0.69899999999999995</v>
      </c>
      <c r="M16">
        <v>59</v>
      </c>
      <c r="N16">
        <v>2.044</v>
      </c>
      <c r="O16">
        <v>42</v>
      </c>
      <c r="P16">
        <v>25.454999999999998</v>
      </c>
      <c r="Q16">
        <v>94</v>
      </c>
      <c r="R16">
        <v>56.97</v>
      </c>
      <c r="S16">
        <v>109</v>
      </c>
      <c r="T16">
        <v>66.061000000000007</v>
      </c>
      <c r="U16">
        <v>0.58099999999999996</v>
      </c>
      <c r="V16">
        <v>2.7970000000000002</v>
      </c>
      <c r="W16">
        <v>1</v>
      </c>
      <c r="X16">
        <v>6.327</v>
      </c>
      <c r="Y16">
        <v>1</v>
      </c>
      <c r="Z16">
        <v>155</v>
      </c>
      <c r="AA16">
        <v>0.68400000000000005</v>
      </c>
      <c r="AB16">
        <v>5.8000000000000003E-2</v>
      </c>
      <c r="AC16">
        <v>4</v>
      </c>
      <c r="AD16">
        <v>2.4239999999999999</v>
      </c>
      <c r="AE16">
        <v>13</v>
      </c>
      <c r="AF16">
        <v>7.8789999999999996</v>
      </c>
      <c r="AG16">
        <v>20</v>
      </c>
      <c r="AH16">
        <v>12.121</v>
      </c>
      <c r="AI16">
        <v>1.0649999999999999</v>
      </c>
      <c r="AJ16">
        <v>1</v>
      </c>
      <c r="AK16">
        <v>0.33600000000000002</v>
      </c>
    </row>
    <row r="17" spans="1:37" ht="90" x14ac:dyDescent="0.25">
      <c r="A17">
        <v>38</v>
      </c>
      <c r="B17" s="3" t="s">
        <v>67</v>
      </c>
      <c r="C17" s="3" t="s">
        <v>68</v>
      </c>
      <c r="D17">
        <v>135</v>
      </c>
      <c r="E17">
        <v>0.29499999999999998</v>
      </c>
      <c r="F17">
        <v>2.911</v>
      </c>
      <c r="G17">
        <v>0.55100000000000005</v>
      </c>
      <c r="H17">
        <v>2</v>
      </c>
      <c r="I17">
        <v>5.4</v>
      </c>
      <c r="J17">
        <v>2</v>
      </c>
      <c r="K17">
        <v>7.0469999999999997</v>
      </c>
      <c r="L17">
        <v>0.55100000000000005</v>
      </c>
      <c r="M17">
        <v>84</v>
      </c>
      <c r="N17">
        <v>2.911</v>
      </c>
      <c r="O17">
        <v>11</v>
      </c>
      <c r="P17">
        <v>8.1479999999999997</v>
      </c>
      <c r="Q17">
        <v>32</v>
      </c>
      <c r="R17">
        <v>23.704000000000001</v>
      </c>
      <c r="S17">
        <v>45</v>
      </c>
      <c r="T17">
        <v>33.332999999999998</v>
      </c>
      <c r="U17">
        <v>0.308</v>
      </c>
      <c r="V17">
        <v>1.607</v>
      </c>
      <c r="W17">
        <v>1</v>
      </c>
      <c r="X17">
        <v>1.4730000000000001</v>
      </c>
      <c r="Y17">
        <v>1</v>
      </c>
      <c r="Z17">
        <v>125</v>
      </c>
      <c r="AA17">
        <v>0.55100000000000005</v>
      </c>
      <c r="AB17">
        <v>7.0999999999999994E-2</v>
      </c>
      <c r="AC17">
        <v>5</v>
      </c>
      <c r="AD17">
        <v>3.7040000000000002</v>
      </c>
      <c r="AE17">
        <v>13</v>
      </c>
      <c r="AF17">
        <v>9.6300000000000008</v>
      </c>
      <c r="AG17">
        <v>20</v>
      </c>
      <c r="AH17">
        <v>14.815</v>
      </c>
      <c r="AI17">
        <v>1.08</v>
      </c>
      <c r="AJ17">
        <v>1</v>
      </c>
      <c r="AK17">
        <v>0.41299999999999998</v>
      </c>
    </row>
    <row r="18" spans="1:37" ht="180" x14ac:dyDescent="0.25">
      <c r="A18">
        <v>40</v>
      </c>
      <c r="B18" s="3" t="s">
        <v>69</v>
      </c>
      <c r="C18" s="3" t="s">
        <v>70</v>
      </c>
      <c r="D18">
        <v>129</v>
      </c>
      <c r="E18">
        <v>0.28199999999999997</v>
      </c>
      <c r="F18">
        <v>3.0150000000000001</v>
      </c>
      <c r="G18">
        <v>0.48499999999999999</v>
      </c>
      <c r="H18">
        <v>3</v>
      </c>
      <c r="I18">
        <v>4.4480000000000004</v>
      </c>
      <c r="J18">
        <v>4</v>
      </c>
      <c r="K18">
        <v>2.9710000000000001</v>
      </c>
      <c r="L18">
        <v>0.35799999999999998</v>
      </c>
      <c r="M18">
        <v>87</v>
      </c>
      <c r="N18">
        <v>3.0150000000000001</v>
      </c>
      <c r="O18">
        <v>9</v>
      </c>
      <c r="P18">
        <v>6.9770000000000003</v>
      </c>
      <c r="Q18">
        <v>28</v>
      </c>
      <c r="R18">
        <v>21.704999999999998</v>
      </c>
      <c r="S18">
        <v>42</v>
      </c>
      <c r="T18">
        <v>32.558</v>
      </c>
      <c r="U18">
        <v>0.28000000000000003</v>
      </c>
      <c r="V18">
        <v>1.4830000000000001</v>
      </c>
      <c r="W18">
        <v>1</v>
      </c>
      <c r="X18">
        <v>1.256</v>
      </c>
      <c r="Y18">
        <v>1</v>
      </c>
      <c r="Z18">
        <v>110</v>
      </c>
      <c r="AA18">
        <v>0.48499999999999999</v>
      </c>
      <c r="AB18">
        <v>0.13600000000000001</v>
      </c>
      <c r="AC18">
        <v>7</v>
      </c>
      <c r="AD18">
        <v>5.4260000000000002</v>
      </c>
      <c r="AE18">
        <v>17</v>
      </c>
      <c r="AF18">
        <v>13.178000000000001</v>
      </c>
      <c r="AG18">
        <v>27</v>
      </c>
      <c r="AH18">
        <v>20.93</v>
      </c>
      <c r="AI18">
        <v>1.173</v>
      </c>
      <c r="AJ18">
        <v>1</v>
      </c>
      <c r="AK18">
        <v>0.67500000000000004</v>
      </c>
    </row>
    <row r="19" spans="1:37" ht="60" x14ac:dyDescent="0.25">
      <c r="A19">
        <v>41</v>
      </c>
      <c r="B19" s="3" t="s">
        <v>71</v>
      </c>
      <c r="C19" s="3" t="s">
        <v>72</v>
      </c>
      <c r="D19">
        <v>125</v>
      </c>
      <c r="E19">
        <v>0.27300000000000002</v>
      </c>
      <c r="F19">
        <v>2.5289999999999999</v>
      </c>
      <c r="G19">
        <v>0.49399999999999999</v>
      </c>
      <c r="H19">
        <v>2</v>
      </c>
      <c r="I19">
        <v>5.2080000000000002</v>
      </c>
      <c r="J19">
        <v>4</v>
      </c>
      <c r="K19">
        <v>5.242</v>
      </c>
      <c r="L19">
        <v>0.46200000000000002</v>
      </c>
      <c r="M19">
        <v>73</v>
      </c>
      <c r="N19">
        <v>2.5289999999999999</v>
      </c>
      <c r="O19">
        <v>12</v>
      </c>
      <c r="P19">
        <v>9.6</v>
      </c>
      <c r="Q19">
        <v>31</v>
      </c>
      <c r="R19">
        <v>24.8</v>
      </c>
      <c r="S19">
        <v>47</v>
      </c>
      <c r="T19">
        <v>37.6</v>
      </c>
      <c r="U19">
        <v>0.33900000000000002</v>
      </c>
      <c r="V19">
        <v>1.712</v>
      </c>
      <c r="W19">
        <v>1</v>
      </c>
      <c r="X19">
        <v>1.637</v>
      </c>
      <c r="Y19">
        <v>1</v>
      </c>
      <c r="Z19">
        <v>112</v>
      </c>
      <c r="AA19">
        <v>0.49399999999999999</v>
      </c>
      <c r="AB19">
        <v>9.5000000000000001E-2</v>
      </c>
      <c r="AC19">
        <v>4</v>
      </c>
      <c r="AD19">
        <v>3.2</v>
      </c>
      <c r="AE19">
        <v>12</v>
      </c>
      <c r="AF19">
        <v>9.6</v>
      </c>
      <c r="AG19">
        <v>22</v>
      </c>
      <c r="AH19">
        <v>17.600000000000001</v>
      </c>
      <c r="AI19">
        <v>1.1160000000000001</v>
      </c>
      <c r="AJ19">
        <v>1</v>
      </c>
      <c r="AK19">
        <v>0.39700000000000002</v>
      </c>
    </row>
    <row r="20" spans="1:37" ht="75" x14ac:dyDescent="0.25">
      <c r="A20">
        <v>42</v>
      </c>
      <c r="B20" s="3" t="s">
        <v>73</v>
      </c>
      <c r="C20" s="3" t="s">
        <v>74</v>
      </c>
      <c r="D20">
        <v>116</v>
      </c>
      <c r="E20">
        <v>0.254</v>
      </c>
      <c r="F20">
        <v>2.1480000000000001</v>
      </c>
      <c r="G20">
        <v>0.45</v>
      </c>
      <c r="H20">
        <v>3</v>
      </c>
      <c r="I20">
        <v>4.8330000000000002</v>
      </c>
      <c r="J20">
        <v>4.5</v>
      </c>
      <c r="K20">
        <v>4.3609999999999998</v>
      </c>
      <c r="L20">
        <v>0.44400000000000001</v>
      </c>
      <c r="M20">
        <v>62</v>
      </c>
      <c r="N20">
        <v>2.1480000000000001</v>
      </c>
      <c r="O20">
        <v>20</v>
      </c>
      <c r="P20">
        <v>17.241</v>
      </c>
      <c r="Q20">
        <v>51</v>
      </c>
      <c r="R20">
        <v>43.966000000000001</v>
      </c>
      <c r="S20">
        <v>62</v>
      </c>
      <c r="T20">
        <v>53.448</v>
      </c>
      <c r="U20">
        <v>0.42699999999999999</v>
      </c>
      <c r="V20">
        <v>1.871</v>
      </c>
      <c r="W20">
        <v>1</v>
      </c>
      <c r="X20">
        <v>3.0489999999999999</v>
      </c>
      <c r="Y20">
        <v>1</v>
      </c>
      <c r="Z20">
        <v>102</v>
      </c>
      <c r="AA20">
        <v>0.45</v>
      </c>
      <c r="AB20">
        <v>0.113</v>
      </c>
      <c r="AC20">
        <v>4</v>
      </c>
      <c r="AD20">
        <v>3.448</v>
      </c>
      <c r="AE20">
        <v>15</v>
      </c>
      <c r="AF20">
        <v>12.930999999999999</v>
      </c>
      <c r="AG20">
        <v>24</v>
      </c>
      <c r="AH20">
        <v>20.69</v>
      </c>
      <c r="AI20">
        <v>1.137</v>
      </c>
      <c r="AJ20">
        <v>1</v>
      </c>
      <c r="AK20">
        <v>0.50800000000000001</v>
      </c>
    </row>
    <row r="21" spans="1:37" ht="120" x14ac:dyDescent="0.25">
      <c r="A21">
        <v>43</v>
      </c>
      <c r="B21" s="3" t="s">
        <v>75</v>
      </c>
      <c r="C21" s="3" t="s">
        <v>76</v>
      </c>
      <c r="D21">
        <v>112</v>
      </c>
      <c r="E21">
        <v>0.245</v>
      </c>
      <c r="F21">
        <v>2.8410000000000002</v>
      </c>
      <c r="G21">
        <v>0.49</v>
      </c>
      <c r="H21">
        <v>0</v>
      </c>
      <c r="I21">
        <v>4.4800000000000004</v>
      </c>
      <c r="J21">
        <v>4</v>
      </c>
      <c r="K21">
        <v>2.988</v>
      </c>
      <c r="L21">
        <v>0.35899999999999999</v>
      </c>
      <c r="M21">
        <v>82</v>
      </c>
      <c r="N21">
        <v>2.8410000000000002</v>
      </c>
      <c r="O21">
        <v>8</v>
      </c>
      <c r="P21">
        <v>7.1429999999999998</v>
      </c>
      <c r="Q21">
        <v>20</v>
      </c>
      <c r="R21">
        <v>17.856999999999999</v>
      </c>
      <c r="S21">
        <v>31</v>
      </c>
      <c r="T21">
        <v>27.678999999999998</v>
      </c>
      <c r="U21">
        <v>0.224</v>
      </c>
      <c r="V21">
        <v>1.3660000000000001</v>
      </c>
      <c r="W21">
        <v>1</v>
      </c>
      <c r="X21">
        <v>0.93600000000000005</v>
      </c>
      <c r="Y21">
        <v>1</v>
      </c>
      <c r="Z21">
        <v>111</v>
      </c>
      <c r="AA21">
        <v>0.49</v>
      </c>
      <c r="AB21">
        <v>8.9999999999999993E-3</v>
      </c>
      <c r="AC21">
        <v>2</v>
      </c>
      <c r="AD21">
        <v>1.786</v>
      </c>
      <c r="AE21">
        <v>6</v>
      </c>
      <c r="AF21">
        <v>5.3570000000000002</v>
      </c>
      <c r="AG21">
        <v>11</v>
      </c>
      <c r="AH21">
        <v>9.8209999999999997</v>
      </c>
      <c r="AI21">
        <v>1.0089999999999999</v>
      </c>
      <c r="AJ21">
        <v>1</v>
      </c>
      <c r="AK21">
        <v>9.5000000000000001E-2</v>
      </c>
    </row>
    <row r="22" spans="1:37" ht="60" x14ac:dyDescent="0.25">
      <c r="A22">
        <v>44</v>
      </c>
      <c r="B22" s="3" t="s">
        <v>77</v>
      </c>
      <c r="C22" s="3" t="s">
        <v>78</v>
      </c>
      <c r="D22">
        <v>112</v>
      </c>
      <c r="E22">
        <v>0.245</v>
      </c>
      <c r="F22">
        <v>1.871</v>
      </c>
      <c r="G22">
        <v>0.432</v>
      </c>
      <c r="H22">
        <v>4</v>
      </c>
      <c r="I22">
        <v>4.6669999999999998</v>
      </c>
      <c r="J22">
        <v>3</v>
      </c>
      <c r="K22">
        <v>5.2969999999999997</v>
      </c>
      <c r="L22">
        <v>0.48599999999999999</v>
      </c>
      <c r="M22">
        <v>54</v>
      </c>
      <c r="N22">
        <v>1.871</v>
      </c>
      <c r="O22">
        <v>23</v>
      </c>
      <c r="P22">
        <v>20.536000000000001</v>
      </c>
      <c r="Q22">
        <v>54</v>
      </c>
      <c r="R22">
        <v>48.213999999999999</v>
      </c>
      <c r="S22">
        <v>64</v>
      </c>
      <c r="T22">
        <v>57.143000000000001</v>
      </c>
      <c r="U22">
        <v>0.46100000000000002</v>
      </c>
      <c r="V22">
        <v>2.0739999999999998</v>
      </c>
      <c r="W22">
        <v>1</v>
      </c>
      <c r="X22">
        <v>3.419</v>
      </c>
      <c r="Y22">
        <v>1</v>
      </c>
      <c r="Z22">
        <v>98</v>
      </c>
      <c r="AA22">
        <v>0.432</v>
      </c>
      <c r="AB22">
        <v>0.121</v>
      </c>
      <c r="AC22">
        <v>8</v>
      </c>
      <c r="AD22">
        <v>7.1429999999999998</v>
      </c>
      <c r="AE22">
        <v>19</v>
      </c>
      <c r="AF22">
        <v>16.963999999999999</v>
      </c>
      <c r="AG22">
        <v>24</v>
      </c>
      <c r="AH22">
        <v>21.428999999999998</v>
      </c>
      <c r="AI22">
        <v>1.143</v>
      </c>
      <c r="AJ22">
        <v>1</v>
      </c>
      <c r="AK22">
        <v>0.79900000000000004</v>
      </c>
    </row>
    <row r="23" spans="1:37" ht="90" x14ac:dyDescent="0.25">
      <c r="A23">
        <v>45</v>
      </c>
      <c r="B23" s="3" t="s">
        <v>79</v>
      </c>
      <c r="C23" s="3" t="s">
        <v>80</v>
      </c>
      <c r="D23">
        <v>110</v>
      </c>
      <c r="E23">
        <v>0.24099999999999999</v>
      </c>
      <c r="F23">
        <v>2.391</v>
      </c>
      <c r="G23">
        <v>0.41899999999999998</v>
      </c>
      <c r="H23">
        <v>4</v>
      </c>
      <c r="I23">
        <v>5</v>
      </c>
      <c r="J23">
        <v>3</v>
      </c>
      <c r="K23">
        <v>5.3540000000000001</v>
      </c>
      <c r="L23">
        <v>0.47199999999999998</v>
      </c>
      <c r="M23">
        <v>69</v>
      </c>
      <c r="N23">
        <v>2.391</v>
      </c>
      <c r="O23">
        <v>8</v>
      </c>
      <c r="P23">
        <v>7.2729999999999997</v>
      </c>
      <c r="Q23">
        <v>25</v>
      </c>
      <c r="R23">
        <v>22.727</v>
      </c>
      <c r="S23">
        <v>39</v>
      </c>
      <c r="T23">
        <v>35.454999999999998</v>
      </c>
      <c r="U23">
        <v>0.29499999999999998</v>
      </c>
      <c r="V23">
        <v>1.5940000000000001</v>
      </c>
      <c r="W23">
        <v>1</v>
      </c>
      <c r="X23">
        <v>1.2170000000000001</v>
      </c>
      <c r="Y23">
        <v>1</v>
      </c>
      <c r="Z23">
        <v>95</v>
      </c>
      <c r="AA23">
        <v>0.41899999999999998</v>
      </c>
      <c r="AB23">
        <v>0.127</v>
      </c>
      <c r="AC23">
        <v>5</v>
      </c>
      <c r="AD23">
        <v>4.5449999999999999</v>
      </c>
      <c r="AE23">
        <v>16</v>
      </c>
      <c r="AF23">
        <v>14.545</v>
      </c>
      <c r="AG23">
        <v>25</v>
      </c>
      <c r="AH23">
        <v>22.727</v>
      </c>
      <c r="AI23">
        <v>1.1579999999999999</v>
      </c>
      <c r="AJ23">
        <v>1</v>
      </c>
      <c r="AK23">
        <v>0.58899999999999997</v>
      </c>
    </row>
    <row r="24" spans="1:37" ht="90" x14ac:dyDescent="0.25">
      <c r="A24">
        <v>46</v>
      </c>
      <c r="B24" s="3" t="s">
        <v>81</v>
      </c>
      <c r="C24" s="3" t="s">
        <v>82</v>
      </c>
      <c r="D24">
        <v>110</v>
      </c>
      <c r="E24">
        <v>0.24099999999999999</v>
      </c>
      <c r="F24">
        <v>2.5289999999999999</v>
      </c>
      <c r="G24">
        <v>0.441</v>
      </c>
      <c r="H24">
        <v>3</v>
      </c>
      <c r="I24">
        <v>5</v>
      </c>
      <c r="J24">
        <v>2.5</v>
      </c>
      <c r="K24">
        <v>6.6189999999999998</v>
      </c>
      <c r="L24">
        <v>0.53400000000000003</v>
      </c>
      <c r="M24">
        <v>73</v>
      </c>
      <c r="N24">
        <v>2.5289999999999999</v>
      </c>
      <c r="O24">
        <v>9</v>
      </c>
      <c r="P24">
        <v>8.1820000000000004</v>
      </c>
      <c r="Q24">
        <v>27</v>
      </c>
      <c r="R24">
        <v>24.545000000000002</v>
      </c>
      <c r="S24">
        <v>42</v>
      </c>
      <c r="T24">
        <v>38.182000000000002</v>
      </c>
      <c r="U24">
        <v>0.29299999999999998</v>
      </c>
      <c r="V24">
        <v>1.5069999999999999</v>
      </c>
      <c r="W24">
        <v>1</v>
      </c>
      <c r="X24">
        <v>1.3140000000000001</v>
      </c>
      <c r="Y24">
        <v>1</v>
      </c>
      <c r="Z24">
        <v>100</v>
      </c>
      <c r="AA24">
        <v>0.441</v>
      </c>
      <c r="AB24">
        <v>0.09</v>
      </c>
      <c r="AC24">
        <v>10</v>
      </c>
      <c r="AD24">
        <v>9.0909999999999993</v>
      </c>
      <c r="AE24">
        <v>15</v>
      </c>
      <c r="AF24">
        <v>13.635999999999999</v>
      </c>
      <c r="AG24">
        <v>20</v>
      </c>
      <c r="AH24">
        <v>18.181999999999999</v>
      </c>
      <c r="AI24">
        <v>1.1000000000000001</v>
      </c>
      <c r="AJ24">
        <v>1</v>
      </c>
      <c r="AK24">
        <v>0.90500000000000003</v>
      </c>
    </row>
    <row r="25" spans="1:37" ht="75" x14ac:dyDescent="0.25">
      <c r="A25">
        <v>49</v>
      </c>
      <c r="B25" s="3" t="s">
        <v>83</v>
      </c>
      <c r="C25" s="3" t="s">
        <v>84</v>
      </c>
      <c r="D25">
        <v>100</v>
      </c>
      <c r="E25">
        <v>0.219</v>
      </c>
      <c r="F25">
        <v>3.0840000000000001</v>
      </c>
      <c r="G25">
        <v>0.379</v>
      </c>
      <c r="H25">
        <v>1</v>
      </c>
      <c r="I25">
        <v>3.7040000000000002</v>
      </c>
      <c r="J25">
        <v>3</v>
      </c>
      <c r="K25">
        <v>2.0910000000000002</v>
      </c>
      <c r="L25">
        <v>0.29899999999999999</v>
      </c>
      <c r="M25">
        <v>89</v>
      </c>
      <c r="N25">
        <v>3.0840000000000001</v>
      </c>
      <c r="O25">
        <v>4</v>
      </c>
      <c r="P25">
        <v>4</v>
      </c>
      <c r="Q25">
        <v>14</v>
      </c>
      <c r="R25">
        <v>14</v>
      </c>
      <c r="S25">
        <v>21</v>
      </c>
      <c r="T25">
        <v>21</v>
      </c>
      <c r="U25">
        <v>0.10299999999999999</v>
      </c>
      <c r="V25">
        <v>1.1240000000000001</v>
      </c>
      <c r="W25">
        <v>1</v>
      </c>
      <c r="X25">
        <v>0.47199999999999998</v>
      </c>
      <c r="Y25">
        <v>1</v>
      </c>
      <c r="Z25">
        <v>86</v>
      </c>
      <c r="AA25">
        <v>0.379</v>
      </c>
      <c r="AB25">
        <v>0.13600000000000001</v>
      </c>
      <c r="AC25">
        <v>9</v>
      </c>
      <c r="AD25">
        <v>9</v>
      </c>
      <c r="AE25">
        <v>19</v>
      </c>
      <c r="AF25">
        <v>19</v>
      </c>
      <c r="AG25">
        <v>24</v>
      </c>
      <c r="AH25">
        <v>24</v>
      </c>
      <c r="AI25">
        <v>1.163</v>
      </c>
      <c r="AJ25">
        <v>1</v>
      </c>
      <c r="AK25">
        <v>0.93100000000000005</v>
      </c>
    </row>
    <row r="26" spans="1:37" ht="75" x14ac:dyDescent="0.25">
      <c r="A26">
        <v>51</v>
      </c>
      <c r="B26" s="3" t="s">
        <v>85</v>
      </c>
      <c r="C26" s="3" t="s">
        <v>86</v>
      </c>
      <c r="D26">
        <v>98</v>
      </c>
      <c r="E26">
        <v>0.214</v>
      </c>
      <c r="F26">
        <v>3.0150000000000001</v>
      </c>
      <c r="G26">
        <v>0.39700000000000002</v>
      </c>
      <c r="H26">
        <v>2</v>
      </c>
      <c r="I26">
        <v>3.63</v>
      </c>
      <c r="J26">
        <v>3</v>
      </c>
      <c r="K26">
        <v>2.7050000000000001</v>
      </c>
      <c r="L26">
        <v>0.37</v>
      </c>
      <c r="M26">
        <v>87</v>
      </c>
      <c r="N26">
        <v>3.0150000000000001</v>
      </c>
      <c r="O26">
        <v>3</v>
      </c>
      <c r="P26">
        <v>3.0609999999999999</v>
      </c>
      <c r="Q26">
        <v>11</v>
      </c>
      <c r="R26">
        <v>11.224</v>
      </c>
      <c r="S26">
        <v>21</v>
      </c>
      <c r="T26">
        <v>21.428999999999998</v>
      </c>
      <c r="U26">
        <v>0.1</v>
      </c>
      <c r="V26">
        <v>1.1259999999999999</v>
      </c>
      <c r="W26">
        <v>1</v>
      </c>
      <c r="X26">
        <v>0.36699999999999999</v>
      </c>
      <c r="Y26">
        <v>1</v>
      </c>
      <c r="Z26">
        <v>90</v>
      </c>
      <c r="AA26">
        <v>0.39700000000000002</v>
      </c>
      <c r="AB26">
        <v>7.8E-2</v>
      </c>
      <c r="AC26">
        <v>3</v>
      </c>
      <c r="AD26">
        <v>3.0609999999999999</v>
      </c>
      <c r="AE26">
        <v>13</v>
      </c>
      <c r="AF26">
        <v>13.265000000000001</v>
      </c>
      <c r="AG26">
        <v>18</v>
      </c>
      <c r="AH26">
        <v>18.367000000000001</v>
      </c>
      <c r="AI26">
        <v>1.089</v>
      </c>
      <c r="AJ26">
        <v>1</v>
      </c>
      <c r="AK26">
        <v>0.38600000000000001</v>
      </c>
    </row>
    <row r="27" spans="1:37" ht="75" x14ac:dyDescent="0.25">
      <c r="A27">
        <v>52</v>
      </c>
      <c r="B27" s="3" t="s">
        <v>87</v>
      </c>
      <c r="C27" s="3" t="s">
        <v>88</v>
      </c>
      <c r="D27">
        <v>92</v>
      </c>
      <c r="E27">
        <v>0.20100000000000001</v>
      </c>
      <c r="F27">
        <v>2.3220000000000001</v>
      </c>
      <c r="G27">
        <v>0.34799999999999998</v>
      </c>
      <c r="H27">
        <v>1</v>
      </c>
      <c r="I27">
        <v>3.68</v>
      </c>
      <c r="J27">
        <v>3</v>
      </c>
      <c r="K27">
        <v>2.41</v>
      </c>
      <c r="L27">
        <v>0.33900000000000002</v>
      </c>
      <c r="M27">
        <v>67</v>
      </c>
      <c r="N27">
        <v>2.3220000000000001</v>
      </c>
      <c r="O27">
        <v>5</v>
      </c>
      <c r="P27">
        <v>5.4349999999999996</v>
      </c>
      <c r="Q27">
        <v>17</v>
      </c>
      <c r="R27">
        <v>18.478000000000002</v>
      </c>
      <c r="S27">
        <v>30</v>
      </c>
      <c r="T27">
        <v>32.609000000000002</v>
      </c>
      <c r="U27">
        <v>0.22500000000000001</v>
      </c>
      <c r="V27">
        <v>1.373</v>
      </c>
      <c r="W27">
        <v>1</v>
      </c>
      <c r="X27">
        <v>0.79500000000000004</v>
      </c>
      <c r="Y27">
        <v>1</v>
      </c>
      <c r="Z27">
        <v>79</v>
      </c>
      <c r="AA27">
        <v>0.34799999999999998</v>
      </c>
      <c r="AB27">
        <v>0.13300000000000001</v>
      </c>
      <c r="AC27">
        <v>7</v>
      </c>
      <c r="AD27">
        <v>7.609</v>
      </c>
      <c r="AE27">
        <v>16</v>
      </c>
      <c r="AF27">
        <v>17.390999999999998</v>
      </c>
      <c r="AG27">
        <v>23</v>
      </c>
      <c r="AH27">
        <v>25</v>
      </c>
      <c r="AI27">
        <v>1.165</v>
      </c>
      <c r="AJ27">
        <v>1</v>
      </c>
      <c r="AK27">
        <v>0.74099999999999999</v>
      </c>
    </row>
    <row r="28" spans="1:37" ht="75" x14ac:dyDescent="0.25">
      <c r="A28">
        <v>55</v>
      </c>
      <c r="B28" s="3" t="s">
        <v>89</v>
      </c>
      <c r="C28" s="3" t="s">
        <v>90</v>
      </c>
      <c r="D28">
        <v>88</v>
      </c>
      <c r="E28">
        <v>0.192</v>
      </c>
      <c r="F28">
        <v>2.2869999999999999</v>
      </c>
      <c r="G28">
        <v>0.35699999999999998</v>
      </c>
      <c r="H28">
        <v>2</v>
      </c>
      <c r="I28">
        <v>3.52</v>
      </c>
      <c r="J28">
        <v>2</v>
      </c>
      <c r="K28">
        <v>3.7090000000000001</v>
      </c>
      <c r="L28">
        <v>0.46200000000000002</v>
      </c>
      <c r="M28">
        <v>66</v>
      </c>
      <c r="N28">
        <v>2.2869999999999999</v>
      </c>
      <c r="O28">
        <v>4</v>
      </c>
      <c r="P28">
        <v>4.5449999999999999</v>
      </c>
      <c r="Q28">
        <v>17</v>
      </c>
      <c r="R28">
        <v>19.318000000000001</v>
      </c>
      <c r="S28">
        <v>28</v>
      </c>
      <c r="T28">
        <v>31.818000000000001</v>
      </c>
      <c r="U28">
        <v>0.20899999999999999</v>
      </c>
      <c r="V28">
        <v>1.333</v>
      </c>
      <c r="W28">
        <v>1</v>
      </c>
      <c r="X28">
        <v>0.73</v>
      </c>
      <c r="Y28">
        <v>1</v>
      </c>
      <c r="Z28">
        <v>81</v>
      </c>
      <c r="AA28">
        <v>0.35699999999999998</v>
      </c>
      <c r="AB28">
        <v>7.4999999999999997E-2</v>
      </c>
      <c r="AC28">
        <v>3</v>
      </c>
      <c r="AD28">
        <v>3.4089999999999998</v>
      </c>
      <c r="AE28">
        <v>12</v>
      </c>
      <c r="AF28">
        <v>13.635999999999999</v>
      </c>
      <c r="AG28">
        <v>17</v>
      </c>
      <c r="AH28">
        <v>19.318000000000001</v>
      </c>
      <c r="AI28">
        <v>1.0860000000000001</v>
      </c>
      <c r="AJ28">
        <v>1</v>
      </c>
      <c r="AK28">
        <v>0.36</v>
      </c>
    </row>
    <row r="29" spans="1:37" ht="105" x14ac:dyDescent="0.25">
      <c r="A29">
        <v>60</v>
      </c>
      <c r="B29" s="3" t="s">
        <v>91</v>
      </c>
      <c r="C29" s="3" t="s">
        <v>92</v>
      </c>
      <c r="D29">
        <v>58</v>
      </c>
      <c r="E29">
        <v>0.127</v>
      </c>
      <c r="F29">
        <v>1.5589999999999999</v>
      </c>
      <c r="G29">
        <v>0.17199999999999999</v>
      </c>
      <c r="H29">
        <v>2</v>
      </c>
      <c r="I29">
        <v>2.9</v>
      </c>
      <c r="J29">
        <v>2</v>
      </c>
      <c r="K29">
        <v>2.9359999999999999</v>
      </c>
      <c r="L29">
        <v>0.44800000000000001</v>
      </c>
      <c r="M29">
        <v>45</v>
      </c>
      <c r="N29">
        <v>1.5589999999999999</v>
      </c>
      <c r="O29">
        <v>4</v>
      </c>
      <c r="P29">
        <v>6.8970000000000002</v>
      </c>
      <c r="Q29">
        <v>13</v>
      </c>
      <c r="R29">
        <v>22.414000000000001</v>
      </c>
      <c r="S29">
        <v>23</v>
      </c>
      <c r="T29">
        <v>39.655000000000001</v>
      </c>
      <c r="U29">
        <v>0.184</v>
      </c>
      <c r="V29">
        <v>1.2889999999999999</v>
      </c>
      <c r="W29">
        <v>1</v>
      </c>
      <c r="X29">
        <v>0.626</v>
      </c>
      <c r="Y29">
        <v>1</v>
      </c>
      <c r="Z29">
        <v>39</v>
      </c>
      <c r="AA29">
        <v>0.17199999999999999</v>
      </c>
      <c r="AB29">
        <v>0.307</v>
      </c>
      <c r="AC29">
        <v>13</v>
      </c>
      <c r="AD29">
        <v>22.414000000000001</v>
      </c>
      <c r="AE29">
        <v>24</v>
      </c>
      <c r="AF29">
        <v>41.378999999999998</v>
      </c>
      <c r="AG29">
        <v>29</v>
      </c>
      <c r="AH29">
        <v>50</v>
      </c>
      <c r="AI29">
        <v>1.4870000000000001</v>
      </c>
      <c r="AJ29">
        <v>1</v>
      </c>
      <c r="AK29">
        <v>1.9850000000000001</v>
      </c>
    </row>
    <row r="30" spans="1:37" ht="75" x14ac:dyDescent="0.25">
      <c r="A30">
        <v>64</v>
      </c>
      <c r="B30" s="3" t="s">
        <v>93</v>
      </c>
      <c r="C30" s="3" t="s">
        <v>94</v>
      </c>
      <c r="D30">
        <v>52</v>
      </c>
      <c r="E30">
        <v>0.114</v>
      </c>
      <c r="F30">
        <v>0.27700000000000002</v>
      </c>
      <c r="G30">
        <v>0.20300000000000001</v>
      </c>
      <c r="H30">
        <v>0</v>
      </c>
      <c r="I30">
        <v>17.332999999999998</v>
      </c>
      <c r="J30">
        <v>1</v>
      </c>
      <c r="K30">
        <v>28.29</v>
      </c>
      <c r="L30">
        <v>0.628</v>
      </c>
      <c r="M30">
        <v>8</v>
      </c>
      <c r="N30">
        <v>0.27700000000000002</v>
      </c>
      <c r="O30">
        <v>39</v>
      </c>
      <c r="P30">
        <v>75</v>
      </c>
      <c r="Q30">
        <v>49</v>
      </c>
      <c r="R30">
        <v>94.230999999999995</v>
      </c>
      <c r="S30">
        <v>52</v>
      </c>
      <c r="T30">
        <v>100</v>
      </c>
      <c r="U30">
        <v>0.70699999999999996</v>
      </c>
      <c r="V30">
        <v>6.5</v>
      </c>
      <c r="W30">
        <v>1</v>
      </c>
      <c r="X30">
        <v>13.244999999999999</v>
      </c>
      <c r="Y30">
        <v>1</v>
      </c>
      <c r="Z30">
        <v>46</v>
      </c>
      <c r="AA30">
        <v>0.20300000000000001</v>
      </c>
      <c r="AB30">
        <v>0.1</v>
      </c>
      <c r="AC30">
        <v>2</v>
      </c>
      <c r="AD30">
        <v>3.8460000000000001</v>
      </c>
      <c r="AE30">
        <v>10</v>
      </c>
      <c r="AF30">
        <v>19.231000000000002</v>
      </c>
      <c r="AG30">
        <v>16</v>
      </c>
      <c r="AH30">
        <v>30.768999999999998</v>
      </c>
      <c r="AI30">
        <v>1.1299999999999999</v>
      </c>
      <c r="AJ30">
        <v>1</v>
      </c>
      <c r="AK30">
        <v>0.34100000000000003</v>
      </c>
    </row>
    <row r="31" spans="1:37" ht="75" x14ac:dyDescent="0.25">
      <c r="A31">
        <v>65</v>
      </c>
      <c r="B31" s="3" t="s">
        <v>95</v>
      </c>
      <c r="C31" s="3" t="s">
        <v>96</v>
      </c>
      <c r="D31">
        <v>51</v>
      </c>
      <c r="E31">
        <v>0.112</v>
      </c>
      <c r="F31">
        <v>1.3859999999999999</v>
      </c>
      <c r="G31">
        <v>0.185</v>
      </c>
      <c r="H31">
        <v>1</v>
      </c>
      <c r="I31">
        <v>2.6840000000000002</v>
      </c>
      <c r="J31">
        <v>1</v>
      </c>
      <c r="K31">
        <v>2.4510000000000001</v>
      </c>
      <c r="L31">
        <v>0.43099999999999999</v>
      </c>
      <c r="M31">
        <v>40</v>
      </c>
      <c r="N31">
        <v>1.3859999999999999</v>
      </c>
      <c r="O31">
        <v>4</v>
      </c>
      <c r="P31">
        <v>7.843</v>
      </c>
      <c r="Q31">
        <v>14</v>
      </c>
      <c r="R31">
        <v>27.451000000000001</v>
      </c>
      <c r="S31">
        <v>21</v>
      </c>
      <c r="T31">
        <v>41.176000000000002</v>
      </c>
      <c r="U31">
        <v>0.187</v>
      </c>
      <c r="V31">
        <v>1.2749999999999999</v>
      </c>
      <c r="W31">
        <v>1</v>
      </c>
      <c r="X31">
        <v>0.67900000000000005</v>
      </c>
      <c r="Y31">
        <v>1</v>
      </c>
      <c r="Z31">
        <v>42</v>
      </c>
      <c r="AA31">
        <v>0.185</v>
      </c>
      <c r="AB31">
        <v>0.152</v>
      </c>
      <c r="AC31">
        <v>3</v>
      </c>
      <c r="AD31">
        <v>5.8819999999999997</v>
      </c>
      <c r="AE31">
        <v>12</v>
      </c>
      <c r="AF31">
        <v>23.529</v>
      </c>
      <c r="AG31">
        <v>19</v>
      </c>
      <c r="AH31">
        <v>37.255000000000003</v>
      </c>
      <c r="AI31">
        <v>1.214</v>
      </c>
      <c r="AJ31">
        <v>1</v>
      </c>
      <c r="AK31">
        <v>0.52</v>
      </c>
    </row>
    <row r="32" spans="1:37" ht="105" x14ac:dyDescent="0.25">
      <c r="A32">
        <v>67</v>
      </c>
      <c r="B32" s="3" t="s">
        <v>97</v>
      </c>
      <c r="C32" s="3" t="s">
        <v>98</v>
      </c>
      <c r="D32">
        <v>49</v>
      </c>
      <c r="E32">
        <v>0.107</v>
      </c>
      <c r="F32">
        <v>1.5249999999999999</v>
      </c>
      <c r="G32">
        <v>0.20300000000000001</v>
      </c>
      <c r="H32">
        <v>1</v>
      </c>
      <c r="I32">
        <v>2.4500000000000002</v>
      </c>
      <c r="J32">
        <v>1</v>
      </c>
      <c r="K32">
        <v>2.0379999999999998</v>
      </c>
      <c r="L32">
        <v>0.40699999999999997</v>
      </c>
      <c r="M32">
        <v>44</v>
      </c>
      <c r="N32">
        <v>1.5249999999999999</v>
      </c>
      <c r="O32">
        <v>2</v>
      </c>
      <c r="P32">
        <v>4.0819999999999999</v>
      </c>
      <c r="Q32">
        <v>10</v>
      </c>
      <c r="R32">
        <v>20.408000000000001</v>
      </c>
      <c r="S32">
        <v>15</v>
      </c>
      <c r="T32">
        <v>30.611999999999998</v>
      </c>
      <c r="U32">
        <v>0.09</v>
      </c>
      <c r="V32">
        <v>1.1140000000000001</v>
      </c>
      <c r="W32">
        <v>1</v>
      </c>
      <c r="X32">
        <v>0.32100000000000001</v>
      </c>
      <c r="Y32">
        <v>1</v>
      </c>
      <c r="Z32">
        <v>46</v>
      </c>
      <c r="AA32">
        <v>0.20300000000000001</v>
      </c>
      <c r="AB32">
        <v>5.8999999999999997E-2</v>
      </c>
      <c r="AC32">
        <v>3</v>
      </c>
      <c r="AD32">
        <v>6.1219999999999999</v>
      </c>
      <c r="AE32">
        <v>8</v>
      </c>
      <c r="AF32">
        <v>16.327000000000002</v>
      </c>
      <c r="AG32">
        <v>13</v>
      </c>
      <c r="AH32">
        <v>26.530999999999999</v>
      </c>
      <c r="AI32">
        <v>1.0649999999999999</v>
      </c>
      <c r="AJ32">
        <v>1</v>
      </c>
      <c r="AK32">
        <v>0.32700000000000001</v>
      </c>
    </row>
    <row r="33" spans="1:37" ht="75" x14ac:dyDescent="0.25">
      <c r="A33">
        <v>71</v>
      </c>
      <c r="B33" s="3" t="s">
        <v>99</v>
      </c>
      <c r="C33" s="3" t="s">
        <v>100</v>
      </c>
      <c r="D33">
        <v>44</v>
      </c>
      <c r="E33">
        <v>9.6000000000000002E-2</v>
      </c>
      <c r="F33">
        <v>1.3859999999999999</v>
      </c>
      <c r="G33">
        <v>0.16800000000000001</v>
      </c>
      <c r="H33">
        <v>0</v>
      </c>
      <c r="I33">
        <v>2.444</v>
      </c>
      <c r="J33">
        <v>2</v>
      </c>
      <c r="K33">
        <v>1.6879999999999999</v>
      </c>
      <c r="L33">
        <v>0.35099999999999998</v>
      </c>
      <c r="M33">
        <v>40</v>
      </c>
      <c r="N33">
        <v>1.3859999999999999</v>
      </c>
      <c r="O33">
        <v>2</v>
      </c>
      <c r="P33">
        <v>4.5449999999999999</v>
      </c>
      <c r="Q33">
        <v>9</v>
      </c>
      <c r="R33">
        <v>20.454999999999998</v>
      </c>
      <c r="S33">
        <v>14</v>
      </c>
      <c r="T33">
        <v>31.818000000000001</v>
      </c>
      <c r="U33">
        <v>8.2000000000000003E-2</v>
      </c>
      <c r="V33">
        <v>1.1000000000000001</v>
      </c>
      <c r="W33">
        <v>1</v>
      </c>
      <c r="X33">
        <v>0.30399999999999999</v>
      </c>
      <c r="Y33">
        <v>1</v>
      </c>
      <c r="Z33">
        <v>38</v>
      </c>
      <c r="AA33">
        <v>0.16800000000000001</v>
      </c>
      <c r="AB33">
        <v>0.124</v>
      </c>
      <c r="AC33">
        <v>3</v>
      </c>
      <c r="AD33">
        <v>6.8179999999999996</v>
      </c>
      <c r="AE33">
        <v>11</v>
      </c>
      <c r="AF33">
        <v>25</v>
      </c>
      <c r="AG33">
        <v>16</v>
      </c>
      <c r="AH33">
        <v>36.363999999999997</v>
      </c>
      <c r="AI33">
        <v>1.1579999999999999</v>
      </c>
      <c r="AJ33">
        <v>1</v>
      </c>
      <c r="AK33">
        <v>0.495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99CB-3B72-4BF9-8257-E8041486F611}">
  <dimension ref="A1:L38"/>
  <sheetViews>
    <sheetView tabSelected="1" topLeftCell="A33" workbookViewId="0">
      <pane xSplit="1" topLeftCell="B1" activePane="topRight" state="frozen"/>
      <selection activeCell="A3" sqref="A3"/>
      <selection pane="topRight" activeCell="D33" sqref="D33"/>
    </sheetView>
  </sheetViews>
  <sheetFormatPr baseColWidth="10" defaultRowHeight="15" x14ac:dyDescent="0.25"/>
  <cols>
    <col min="2" max="2" width="13.85546875" customWidth="1"/>
    <col min="3" max="3" width="15" customWidth="1"/>
    <col min="4" max="4" width="20.5703125" customWidth="1"/>
    <col min="5" max="5" width="23.140625" customWidth="1"/>
  </cols>
  <sheetData>
    <row r="1" spans="1:6" x14ac:dyDescent="0.25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126</v>
      </c>
    </row>
    <row r="2" spans="1:6" ht="180" x14ac:dyDescent="0.25">
      <c r="A2" s="4">
        <v>1</v>
      </c>
      <c r="B2" s="15" t="s">
        <v>37</v>
      </c>
      <c r="C2" s="15" t="s">
        <v>38</v>
      </c>
      <c r="D2" s="5">
        <v>1365</v>
      </c>
      <c r="E2" s="5">
        <v>2.9849999999999999</v>
      </c>
      <c r="F2" t="s">
        <v>139</v>
      </c>
    </row>
    <row r="3" spans="1:6" ht="165" x14ac:dyDescent="0.25">
      <c r="A3" s="4">
        <v>3</v>
      </c>
      <c r="B3" s="15" t="s">
        <v>39</v>
      </c>
      <c r="C3" s="15" t="s">
        <v>40</v>
      </c>
      <c r="D3" s="5">
        <v>886</v>
      </c>
      <c r="E3" s="5">
        <v>1.9370000000000001</v>
      </c>
      <c r="F3" t="s">
        <v>139</v>
      </c>
    </row>
    <row r="4" spans="1:6" ht="180" x14ac:dyDescent="0.25">
      <c r="A4" s="4">
        <v>7</v>
      </c>
      <c r="B4" s="15" t="s">
        <v>41</v>
      </c>
      <c r="C4" s="15" t="s">
        <v>42</v>
      </c>
      <c r="D4" s="5">
        <v>555</v>
      </c>
      <c r="E4" s="5">
        <v>1.214</v>
      </c>
      <c r="F4" t="s">
        <v>140</v>
      </c>
    </row>
    <row r="5" spans="1:6" ht="180" x14ac:dyDescent="0.25">
      <c r="A5" s="4">
        <v>9</v>
      </c>
      <c r="B5" s="15" t="s">
        <v>43</v>
      </c>
      <c r="C5" s="15" t="s">
        <v>44</v>
      </c>
      <c r="D5" s="5">
        <v>551</v>
      </c>
      <c r="E5" s="5">
        <v>1.2050000000000001</v>
      </c>
      <c r="F5" t="s">
        <v>148</v>
      </c>
    </row>
    <row r="6" spans="1:6" ht="210" x14ac:dyDescent="0.25">
      <c r="A6" s="4">
        <v>10</v>
      </c>
      <c r="B6" s="15" t="s">
        <v>45</v>
      </c>
      <c r="C6" s="15" t="s">
        <v>46</v>
      </c>
      <c r="D6" s="5">
        <v>519</v>
      </c>
      <c r="E6" s="5">
        <v>1.135</v>
      </c>
      <c r="F6" t="s">
        <v>141</v>
      </c>
    </row>
    <row r="7" spans="1:6" ht="210" x14ac:dyDescent="0.25">
      <c r="A7" s="4">
        <v>12</v>
      </c>
      <c r="B7" s="15" t="s">
        <v>47</v>
      </c>
      <c r="C7" s="15" t="s">
        <v>48</v>
      </c>
      <c r="D7" s="5">
        <v>463</v>
      </c>
      <c r="E7" s="5">
        <v>1.012</v>
      </c>
      <c r="F7" t="s">
        <v>142</v>
      </c>
    </row>
    <row r="8" spans="1:6" ht="165" x14ac:dyDescent="0.25">
      <c r="A8" s="4">
        <v>16</v>
      </c>
      <c r="B8" s="15" t="s">
        <v>49</v>
      </c>
      <c r="C8" s="15" t="s">
        <v>50</v>
      </c>
      <c r="D8" s="5">
        <v>403</v>
      </c>
      <c r="E8" s="5">
        <v>0.88100000000000001</v>
      </c>
      <c r="F8" t="s">
        <v>147</v>
      </c>
    </row>
    <row r="9" spans="1:6" ht="195" x14ac:dyDescent="0.25">
      <c r="A9" s="4">
        <v>17</v>
      </c>
      <c r="B9" s="15" t="s">
        <v>51</v>
      </c>
      <c r="C9" s="15" t="s">
        <v>52</v>
      </c>
      <c r="D9" s="5">
        <v>391</v>
      </c>
      <c r="E9" s="5">
        <v>0.85499999999999998</v>
      </c>
      <c r="F9" t="s">
        <v>143</v>
      </c>
    </row>
    <row r="10" spans="1:6" ht="270" x14ac:dyDescent="0.25">
      <c r="A10" s="4">
        <v>19</v>
      </c>
      <c r="B10" s="15" t="s">
        <v>53</v>
      </c>
      <c r="C10" s="15" t="s">
        <v>54</v>
      </c>
      <c r="D10" s="5">
        <v>319</v>
      </c>
      <c r="E10" s="5">
        <v>0.69799999999999995</v>
      </c>
      <c r="F10" t="s">
        <v>139</v>
      </c>
    </row>
    <row r="11" spans="1:6" ht="180" x14ac:dyDescent="0.25">
      <c r="A11" s="4">
        <v>21</v>
      </c>
      <c r="B11" s="15" t="s">
        <v>55</v>
      </c>
      <c r="C11" s="15" t="s">
        <v>56</v>
      </c>
      <c r="D11" s="5">
        <v>293</v>
      </c>
      <c r="E11" s="5">
        <v>0.64100000000000001</v>
      </c>
      <c r="F11" t="s">
        <v>139</v>
      </c>
    </row>
    <row r="12" spans="1:6" ht="225" x14ac:dyDescent="0.25">
      <c r="A12" s="4">
        <v>25</v>
      </c>
      <c r="B12" s="15" t="s">
        <v>57</v>
      </c>
      <c r="C12" s="15" t="s">
        <v>58</v>
      </c>
      <c r="D12" s="5">
        <v>240</v>
      </c>
      <c r="E12" s="5">
        <v>0.52500000000000002</v>
      </c>
      <c r="F12" t="s">
        <v>132</v>
      </c>
    </row>
    <row r="13" spans="1:6" ht="210" x14ac:dyDescent="0.25">
      <c r="A13" s="4">
        <v>26</v>
      </c>
      <c r="B13" s="15" t="s">
        <v>59</v>
      </c>
      <c r="C13" s="15" t="s">
        <v>60</v>
      </c>
      <c r="D13" s="5">
        <v>237</v>
      </c>
      <c r="E13" s="5">
        <v>0.51800000000000002</v>
      </c>
      <c r="F13" t="s">
        <v>132</v>
      </c>
    </row>
    <row r="14" spans="1:6" ht="180" x14ac:dyDescent="0.25">
      <c r="A14" s="4">
        <v>28</v>
      </c>
      <c r="B14" s="15" t="s">
        <v>61</v>
      </c>
      <c r="C14" s="15" t="s">
        <v>62</v>
      </c>
      <c r="D14" s="5">
        <v>216</v>
      </c>
      <c r="E14" s="5">
        <v>0.47199999999999998</v>
      </c>
      <c r="F14" t="s">
        <v>132</v>
      </c>
    </row>
    <row r="15" spans="1:6" ht="165" x14ac:dyDescent="0.25">
      <c r="A15" s="4">
        <v>30</v>
      </c>
      <c r="B15" s="15" t="s">
        <v>63</v>
      </c>
      <c r="C15" s="15" t="s">
        <v>64</v>
      </c>
      <c r="D15" s="5">
        <v>197</v>
      </c>
      <c r="E15" s="5">
        <v>0.43099999999999999</v>
      </c>
      <c r="F15" t="s">
        <v>144</v>
      </c>
    </row>
    <row r="16" spans="1:6" ht="195" x14ac:dyDescent="0.25">
      <c r="A16" s="4">
        <v>35</v>
      </c>
      <c r="B16" s="15" t="s">
        <v>65</v>
      </c>
      <c r="C16" s="15" t="s">
        <v>66</v>
      </c>
      <c r="D16" s="5">
        <v>165</v>
      </c>
      <c r="E16" s="5">
        <v>0.36099999999999999</v>
      </c>
      <c r="F16" t="s">
        <v>132</v>
      </c>
    </row>
    <row r="17" spans="1:6" ht="180" x14ac:dyDescent="0.25">
      <c r="A17" s="4">
        <v>38</v>
      </c>
      <c r="B17" s="15" t="s">
        <v>67</v>
      </c>
      <c r="C17" s="15" t="s">
        <v>68</v>
      </c>
      <c r="D17" s="5">
        <v>135</v>
      </c>
      <c r="E17" s="5">
        <v>0.29499999999999998</v>
      </c>
      <c r="F17" t="s">
        <v>132</v>
      </c>
    </row>
    <row r="18" spans="1:6" ht="345" x14ac:dyDescent="0.25">
      <c r="A18" s="4">
        <v>40</v>
      </c>
      <c r="B18" s="15" t="s">
        <v>69</v>
      </c>
      <c r="C18" s="15" t="s">
        <v>70</v>
      </c>
      <c r="D18" s="5">
        <v>129</v>
      </c>
      <c r="E18" s="5">
        <v>0.28199999999999997</v>
      </c>
      <c r="F18" t="s">
        <v>145</v>
      </c>
    </row>
    <row r="19" spans="1:6" ht="150" x14ac:dyDescent="0.25">
      <c r="A19" s="4">
        <v>41</v>
      </c>
      <c r="B19" s="15" t="s">
        <v>71</v>
      </c>
      <c r="C19" s="15" t="s">
        <v>72</v>
      </c>
      <c r="D19" s="5">
        <v>125</v>
      </c>
      <c r="E19" s="5">
        <v>0.27300000000000002</v>
      </c>
      <c r="F19" t="s">
        <v>132</v>
      </c>
    </row>
    <row r="20" spans="1:6" ht="165" x14ac:dyDescent="0.25">
      <c r="A20" s="4">
        <v>42</v>
      </c>
      <c r="B20" s="15" t="s">
        <v>73</v>
      </c>
      <c r="C20" s="15" t="s">
        <v>74</v>
      </c>
      <c r="D20" s="5">
        <v>116</v>
      </c>
      <c r="E20" s="5">
        <v>0.254</v>
      </c>
      <c r="F20" t="s">
        <v>132</v>
      </c>
    </row>
    <row r="21" spans="1:6" ht="240" x14ac:dyDescent="0.25">
      <c r="A21" s="4">
        <v>43</v>
      </c>
      <c r="B21" s="15" t="s">
        <v>75</v>
      </c>
      <c r="C21" s="15" t="s">
        <v>76</v>
      </c>
      <c r="D21" s="5">
        <v>112</v>
      </c>
      <c r="E21" s="5">
        <v>0.245</v>
      </c>
      <c r="F21" t="s">
        <v>145</v>
      </c>
    </row>
    <row r="22" spans="1:6" ht="165" x14ac:dyDescent="0.25">
      <c r="A22" s="4">
        <v>44</v>
      </c>
      <c r="B22" s="15" t="s">
        <v>77</v>
      </c>
      <c r="C22" s="15" t="s">
        <v>78</v>
      </c>
      <c r="D22" s="5">
        <v>112</v>
      </c>
      <c r="E22" s="5">
        <v>0.245</v>
      </c>
      <c r="F22" t="s">
        <v>140</v>
      </c>
    </row>
    <row r="23" spans="1:6" ht="225" x14ac:dyDescent="0.25">
      <c r="A23" s="4">
        <v>45</v>
      </c>
      <c r="B23" s="15" t="s">
        <v>79</v>
      </c>
      <c r="C23" s="15" t="s">
        <v>80</v>
      </c>
      <c r="D23" s="5">
        <v>110</v>
      </c>
      <c r="E23" s="5">
        <v>0.24099999999999999</v>
      </c>
      <c r="F23" t="s">
        <v>139</v>
      </c>
    </row>
    <row r="24" spans="1:6" ht="195" x14ac:dyDescent="0.25">
      <c r="A24" s="4">
        <v>46</v>
      </c>
      <c r="B24" s="15" t="s">
        <v>81</v>
      </c>
      <c r="C24" s="15" t="s">
        <v>82</v>
      </c>
      <c r="D24" s="5">
        <v>110</v>
      </c>
      <c r="E24" s="5">
        <v>0.24099999999999999</v>
      </c>
      <c r="F24" t="s">
        <v>146</v>
      </c>
    </row>
    <row r="25" spans="1:6" ht="150" x14ac:dyDescent="0.25">
      <c r="A25" s="4">
        <v>49</v>
      </c>
      <c r="B25" s="15" t="s">
        <v>83</v>
      </c>
      <c r="C25" s="15" t="s">
        <v>84</v>
      </c>
      <c r="D25" s="5">
        <v>100</v>
      </c>
      <c r="E25" s="5">
        <v>0.219</v>
      </c>
      <c r="F25" t="s">
        <v>132</v>
      </c>
    </row>
    <row r="26" spans="1:6" ht="165" x14ac:dyDescent="0.25">
      <c r="A26" s="4">
        <v>51</v>
      </c>
      <c r="B26" s="15" t="s">
        <v>85</v>
      </c>
      <c r="C26" s="15" t="s">
        <v>86</v>
      </c>
      <c r="D26" s="5">
        <v>98</v>
      </c>
      <c r="E26" s="5">
        <v>0.214</v>
      </c>
      <c r="F26" t="s">
        <v>132</v>
      </c>
    </row>
    <row r="27" spans="1:6" ht="195" x14ac:dyDescent="0.25">
      <c r="A27" s="4">
        <v>52</v>
      </c>
      <c r="B27" s="15" t="s">
        <v>87</v>
      </c>
      <c r="C27" s="15" t="s">
        <v>88</v>
      </c>
      <c r="D27" s="5">
        <v>92</v>
      </c>
      <c r="E27" s="5">
        <v>0.20100000000000001</v>
      </c>
      <c r="F27" t="s">
        <v>132</v>
      </c>
    </row>
    <row r="28" spans="1:6" ht="180" x14ac:dyDescent="0.25">
      <c r="A28" s="4">
        <v>55</v>
      </c>
      <c r="B28" s="15" t="s">
        <v>89</v>
      </c>
      <c r="C28" s="15" t="s">
        <v>90</v>
      </c>
      <c r="D28" s="5">
        <v>88</v>
      </c>
      <c r="E28" s="5">
        <v>0.192</v>
      </c>
      <c r="F28" t="s">
        <v>132</v>
      </c>
    </row>
    <row r="29" spans="1:6" ht="225" x14ac:dyDescent="0.25">
      <c r="A29" s="4">
        <v>60</v>
      </c>
      <c r="B29" s="15" t="s">
        <v>91</v>
      </c>
      <c r="C29" s="15" t="s">
        <v>92</v>
      </c>
      <c r="D29" s="5">
        <v>58</v>
      </c>
      <c r="E29" s="5">
        <v>0.127</v>
      </c>
      <c r="F29" t="s">
        <v>141</v>
      </c>
    </row>
    <row r="30" spans="1:6" ht="165" x14ac:dyDescent="0.25">
      <c r="A30" s="4">
        <v>64</v>
      </c>
      <c r="B30" s="15" t="s">
        <v>93</v>
      </c>
      <c r="C30" s="15" t="s">
        <v>94</v>
      </c>
      <c r="D30" s="5">
        <v>52</v>
      </c>
      <c r="E30" s="5">
        <v>0.114</v>
      </c>
      <c r="F30" t="s">
        <v>142</v>
      </c>
    </row>
    <row r="31" spans="1:6" ht="195" x14ac:dyDescent="0.25">
      <c r="A31" s="4">
        <v>65</v>
      </c>
      <c r="B31" s="15" t="s">
        <v>95</v>
      </c>
      <c r="C31" s="15" t="s">
        <v>96</v>
      </c>
      <c r="D31" s="5">
        <v>51</v>
      </c>
      <c r="E31" s="5">
        <v>0.112</v>
      </c>
    </row>
    <row r="32" spans="1:6" ht="225" x14ac:dyDescent="0.25">
      <c r="A32" s="4">
        <v>67</v>
      </c>
      <c r="B32" s="15" t="s">
        <v>97</v>
      </c>
      <c r="C32" s="15" t="s">
        <v>98</v>
      </c>
      <c r="D32" s="5">
        <v>49</v>
      </c>
      <c r="E32" s="5">
        <v>0.107</v>
      </c>
      <c r="F32" t="s">
        <v>132</v>
      </c>
    </row>
    <row r="33" spans="1:12" ht="165" x14ac:dyDescent="0.25">
      <c r="A33" s="4">
        <v>71</v>
      </c>
      <c r="B33" s="15" t="s">
        <v>99</v>
      </c>
      <c r="C33" s="15" t="s">
        <v>100</v>
      </c>
      <c r="D33" s="5">
        <v>44</v>
      </c>
      <c r="E33" s="5">
        <v>9.6000000000000002E-2</v>
      </c>
      <c r="F33" t="s">
        <v>147</v>
      </c>
    </row>
    <row r="36" spans="1:12" x14ac:dyDescent="0.25">
      <c r="B36" t="s">
        <v>147</v>
      </c>
      <c r="C36" t="s">
        <v>146</v>
      </c>
      <c r="D36" t="s">
        <v>143</v>
      </c>
      <c r="E36" t="s">
        <v>142</v>
      </c>
      <c r="F36" t="s">
        <v>140</v>
      </c>
      <c r="G36" t="s">
        <v>145</v>
      </c>
      <c r="H36" t="s">
        <v>148</v>
      </c>
      <c r="I36" t="s">
        <v>139</v>
      </c>
      <c r="J36" t="s">
        <v>144</v>
      </c>
      <c r="K36" t="s">
        <v>141</v>
      </c>
      <c r="L36" t="s">
        <v>132</v>
      </c>
    </row>
    <row r="37" spans="1:12" x14ac:dyDescent="0.25">
      <c r="B37">
        <f>COUNTIF(Tabelle4[[#All],[Spalte1]], "ge")</f>
        <v>2</v>
      </c>
      <c r="C37">
        <f>COUNTIF(Tabelle4[[#All],[Spalte1]], "hum")</f>
        <v>1</v>
      </c>
      <c r="D37">
        <f>COUNTIF(Tabelle4[[#All],[Spalte1]], "war")</f>
        <v>1</v>
      </c>
      <c r="E37">
        <f>COUNTIF(Tabelle4[[#All],[Spalte1]], "dis")</f>
        <v>2</v>
      </c>
      <c r="F37">
        <f>COUNTIF(Tabelle4[[#All],[Spalte1]], "cd")</f>
        <v>2</v>
      </c>
      <c r="G37">
        <f>COUNTIF(Tabelle4[[#All],[Spalte1]], "int")</f>
        <v>2</v>
      </c>
      <c r="H37">
        <f>COUNTIF(Tabelle4[[#All],[Spalte1]], "wor")</f>
        <v>1</v>
      </c>
      <c r="I37">
        <f>COUNTIF(Tabelle4[[#All],[Spalte1]], "po")</f>
        <v>5</v>
      </c>
      <c r="J37">
        <f>COUNTIF(Tabelle4[[#All],[Spalte1]], "fis")</f>
        <v>1</v>
      </c>
      <c r="K37">
        <f>COUNTIF(Tabelle4[[#All],[Spalte1]], "nc")</f>
        <v>2</v>
      </c>
      <c r="L37">
        <f>COUNTIF(Tabelle4[[#All],[Spalte1]], "na")</f>
        <v>12</v>
      </c>
    </row>
    <row r="38" spans="1:12" x14ac:dyDescent="0.25">
      <c r="B38">
        <f>SUMIFS(Tabelle4[[#All],[Dokumente relativ (%)]],Tabelle4[[#All],[Spalte1]],"ge")</f>
        <v>0.97699999999999998</v>
      </c>
      <c r="C38">
        <f>SUMIFS(Tabelle4[[#All],[Dokumente relativ (%)]],Tabelle4[[#All],[Spalte1]],"hum")</f>
        <v>0.24099999999999999</v>
      </c>
      <c r="D38">
        <f>SUMIFS(Tabelle4[[#All],[Dokumente relativ (%)]],Tabelle4[[#All],[Spalte1]],"war")</f>
        <v>0.85499999999999998</v>
      </c>
      <c r="E38">
        <f>SUMIFS(Tabelle4[[#All],[Dokumente relativ (%)]],Tabelle4[[#All],[Spalte1]],"dis")</f>
        <v>1.1260000000000001</v>
      </c>
      <c r="F38">
        <f>SUMIFS(Tabelle4[[#All],[Dokumente relativ (%)]],Tabelle4[[#All],[Spalte1]],"cd")</f>
        <v>1.4590000000000001</v>
      </c>
      <c r="G38">
        <f>SUMIFS(Tabelle4[[#All],[Dokumente relativ (%)]],Tabelle4[[#All],[Spalte1]],"int")</f>
        <v>0.52699999999999991</v>
      </c>
      <c r="H38">
        <f>SUMIFS(Tabelle4[[#All],[Dokumente relativ (%)]],Tabelle4[[#All],[Spalte1]],"wor")</f>
        <v>1.2050000000000001</v>
      </c>
      <c r="I38">
        <f>SUMIFS(Tabelle4[[#All],[Dokumente relativ (%)]],Tabelle4[[#All],[Spalte1]],"po")</f>
        <v>6.5019999999999989</v>
      </c>
      <c r="J38">
        <f>SUMIFS(Tabelle4[[#All],[Dokumente relativ (%)]],Tabelle4[[#All],[Spalte1]],"fis")</f>
        <v>0.43099999999999999</v>
      </c>
      <c r="K38">
        <f>SUMIFS(Tabelle4[[#All],[Dokumente relativ (%)]],Tabelle4[[#All],[Spalte1]],"nc")</f>
        <v>1.262</v>
      </c>
      <c r="L38">
        <f>SUMIFS(Tabelle4[[#All],[Dokumente relativ (%)]],Tabelle4[[#All],[Spalte1]],"na")</f>
        <v>3.6310000000000007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712C-8E3F-4F17-AB28-227B56FE2AF4}">
  <dimension ref="A1:J30"/>
  <sheetViews>
    <sheetView topLeftCell="A23" zoomScale="93" workbookViewId="0">
      <selection activeCell="G6" sqref="G6"/>
    </sheetView>
  </sheetViews>
  <sheetFormatPr baseColWidth="10" defaultRowHeight="15" x14ac:dyDescent="0.25"/>
  <cols>
    <col min="1" max="1" width="24" style="14" customWidth="1"/>
  </cols>
  <sheetData>
    <row r="1" spans="1:7" x14ac:dyDescent="0.25">
      <c r="A1" s="13" t="s">
        <v>126</v>
      </c>
      <c r="B1" s="10" t="s">
        <v>127</v>
      </c>
      <c r="C1" s="11" t="s">
        <v>128</v>
      </c>
      <c r="D1" s="10" t="s">
        <v>129</v>
      </c>
      <c r="E1" s="12" t="s">
        <v>130</v>
      </c>
      <c r="F1" s="12" t="s">
        <v>131</v>
      </c>
      <c r="G1" t="s">
        <v>133</v>
      </c>
    </row>
    <row r="2" spans="1:7" ht="45" x14ac:dyDescent="0.25">
      <c r="A2" s="9" t="s">
        <v>101</v>
      </c>
      <c r="B2" s="6">
        <v>16</v>
      </c>
      <c r="C2" s="7">
        <v>45433.150177951393</v>
      </c>
      <c r="D2" s="6">
        <v>3015</v>
      </c>
      <c r="E2" s="8">
        <v>0.53067993366500832</v>
      </c>
      <c r="F2" s="8">
        <v>18.18181818181818</v>
      </c>
      <c r="G2" t="s">
        <v>132</v>
      </c>
    </row>
    <row r="3" spans="1:7" ht="45" x14ac:dyDescent="0.25">
      <c r="A3" s="9" t="s">
        <v>102</v>
      </c>
      <c r="B3" s="6">
        <v>13</v>
      </c>
      <c r="C3" s="7">
        <v>45208.829078776042</v>
      </c>
      <c r="D3" s="6">
        <v>4059</v>
      </c>
      <c r="E3" s="8">
        <v>0.32027593003202759</v>
      </c>
      <c r="F3" s="8">
        <v>14.77272727272727</v>
      </c>
      <c r="G3" t="s">
        <v>132</v>
      </c>
    </row>
    <row r="4" spans="1:7" ht="45" x14ac:dyDescent="0.25">
      <c r="A4" s="9" t="s">
        <v>103</v>
      </c>
      <c r="B4" s="6">
        <v>7</v>
      </c>
      <c r="C4" s="7">
        <v>45240.874950086807</v>
      </c>
      <c r="D4" s="6">
        <v>1966</v>
      </c>
      <c r="E4" s="8">
        <v>0.35605289928789419</v>
      </c>
      <c r="F4" s="8">
        <v>7.9545454545454541</v>
      </c>
      <c r="G4" t="s">
        <v>132</v>
      </c>
    </row>
    <row r="5" spans="1:7" ht="45" x14ac:dyDescent="0.25">
      <c r="A5" s="9" t="s">
        <v>104</v>
      </c>
      <c r="B5" s="6">
        <v>6</v>
      </c>
      <c r="C5" s="7">
        <v>45401.104306640627</v>
      </c>
      <c r="D5" s="6">
        <v>1922</v>
      </c>
      <c r="E5" s="8">
        <v>0.31217481789802293</v>
      </c>
      <c r="F5" s="8">
        <v>6.8181818181818166</v>
      </c>
      <c r="G5" t="s">
        <v>132</v>
      </c>
    </row>
    <row r="6" spans="1:7" ht="30" x14ac:dyDescent="0.25">
      <c r="A6" s="9" t="s">
        <v>105</v>
      </c>
      <c r="B6" s="6">
        <v>5</v>
      </c>
      <c r="C6" s="7">
        <v>45080.645593532987</v>
      </c>
      <c r="D6" s="6">
        <v>1664</v>
      </c>
      <c r="E6" s="8">
        <v>0.30048076923076927</v>
      </c>
      <c r="F6" s="8">
        <v>5.6818181818181817</v>
      </c>
      <c r="G6" t="s">
        <v>132</v>
      </c>
    </row>
    <row r="7" spans="1:7" ht="45" x14ac:dyDescent="0.25">
      <c r="A7" s="9" t="s">
        <v>106</v>
      </c>
      <c r="B7" s="6">
        <v>4</v>
      </c>
      <c r="C7" s="7">
        <v>45337.012564019104</v>
      </c>
      <c r="D7" s="6">
        <v>1577</v>
      </c>
      <c r="E7" s="8">
        <v>0.2536461636017755</v>
      </c>
      <c r="F7" s="8">
        <v>4.5454545454545459</v>
      </c>
      <c r="G7" t="s">
        <v>132</v>
      </c>
    </row>
    <row r="8" spans="1:7" ht="45" x14ac:dyDescent="0.25">
      <c r="A8" s="9" t="s">
        <v>107</v>
      </c>
      <c r="B8" s="6">
        <v>4</v>
      </c>
      <c r="C8" s="7">
        <v>45529.287791883682</v>
      </c>
      <c r="D8" s="6">
        <v>1095</v>
      </c>
      <c r="E8" s="8">
        <v>0.36529680365296802</v>
      </c>
      <c r="F8" s="8">
        <v>4.5454545454545459</v>
      </c>
      <c r="G8" t="s">
        <v>134</v>
      </c>
    </row>
    <row r="9" spans="1:7" ht="60" x14ac:dyDescent="0.25">
      <c r="A9" s="9" t="s">
        <v>108</v>
      </c>
      <c r="B9" s="6">
        <v>3</v>
      </c>
      <c r="C9" s="7">
        <v>45272.920821397573</v>
      </c>
      <c r="D9" s="6">
        <v>1362</v>
      </c>
      <c r="E9" s="8">
        <v>0.22026431718061679</v>
      </c>
      <c r="F9" s="8">
        <v>3.4090909090909092</v>
      </c>
      <c r="G9" t="s">
        <v>132</v>
      </c>
    </row>
    <row r="10" spans="1:7" ht="60" x14ac:dyDescent="0.25">
      <c r="A10" s="9" t="s">
        <v>109</v>
      </c>
      <c r="B10" s="6">
        <v>3</v>
      </c>
      <c r="C10" s="7">
        <v>45497.241920572917</v>
      </c>
      <c r="D10" s="6">
        <v>1403</v>
      </c>
      <c r="E10" s="8">
        <v>0.21382751247327161</v>
      </c>
      <c r="F10" s="8">
        <v>3.4090909090909092</v>
      </c>
      <c r="G10" t="s">
        <v>135</v>
      </c>
    </row>
    <row r="11" spans="1:7" ht="45" x14ac:dyDescent="0.25">
      <c r="A11" s="9" t="s">
        <v>110</v>
      </c>
      <c r="B11" s="6">
        <v>3</v>
      </c>
      <c r="C11" s="7">
        <v>45561.333663194448</v>
      </c>
      <c r="D11" s="6">
        <v>1141</v>
      </c>
      <c r="E11" s="8">
        <v>0.26292725679228751</v>
      </c>
      <c r="F11" s="8">
        <v>3.4090909090909092</v>
      </c>
      <c r="G11" t="s">
        <v>135</v>
      </c>
    </row>
    <row r="12" spans="1:7" ht="45" x14ac:dyDescent="0.25">
      <c r="A12" s="9" t="s">
        <v>111</v>
      </c>
      <c r="B12" s="6">
        <v>3</v>
      </c>
      <c r="C12" s="7">
        <v>45657.471277126737</v>
      </c>
      <c r="D12" s="6">
        <v>3687</v>
      </c>
      <c r="E12" s="8">
        <v>8.1366965012205042E-2</v>
      </c>
      <c r="F12" s="8">
        <v>3.4090909090909092</v>
      </c>
      <c r="G12" t="s">
        <v>135</v>
      </c>
    </row>
    <row r="13" spans="1:7" ht="30" x14ac:dyDescent="0.25">
      <c r="A13" s="9" t="s">
        <v>112</v>
      </c>
      <c r="B13" s="6">
        <v>3</v>
      </c>
      <c r="C13" s="7">
        <v>45753.608891059033</v>
      </c>
      <c r="D13" s="6">
        <v>2196</v>
      </c>
      <c r="E13" s="8">
        <v>0.13661202185792351</v>
      </c>
      <c r="F13" s="8">
        <v>3.4090909090909092</v>
      </c>
      <c r="G13" t="s">
        <v>136</v>
      </c>
    </row>
    <row r="14" spans="1:7" ht="45" x14ac:dyDescent="0.25">
      <c r="A14" s="9" t="s">
        <v>113</v>
      </c>
      <c r="B14" s="6">
        <v>2</v>
      </c>
      <c r="C14" s="7">
        <v>45112.691464843752</v>
      </c>
      <c r="D14" s="6">
        <v>1112</v>
      </c>
      <c r="E14" s="8">
        <v>0.17985611510791369</v>
      </c>
      <c r="F14" s="8">
        <v>2.2727272727272729</v>
      </c>
      <c r="G14" t="s">
        <v>135</v>
      </c>
    </row>
    <row r="15" spans="1:7" ht="30" x14ac:dyDescent="0.25">
      <c r="A15" s="9" t="s">
        <v>114</v>
      </c>
      <c r="B15" s="6">
        <v>2</v>
      </c>
      <c r="C15" s="7">
        <v>45144.737336154511</v>
      </c>
      <c r="D15" s="6">
        <v>818</v>
      </c>
      <c r="E15" s="8">
        <v>0.24449877750611251</v>
      </c>
      <c r="F15" s="8">
        <v>2.2727272727272729</v>
      </c>
      <c r="G15" t="s">
        <v>136</v>
      </c>
    </row>
    <row r="16" spans="1:7" ht="45" x14ac:dyDescent="0.25">
      <c r="A16" s="9" t="s">
        <v>115</v>
      </c>
      <c r="B16" s="6">
        <v>2</v>
      </c>
      <c r="C16" s="7">
        <v>45176.783207465283</v>
      </c>
      <c r="D16" s="6">
        <v>1462</v>
      </c>
      <c r="E16" s="8">
        <v>0.1367989056087551</v>
      </c>
      <c r="F16" s="8">
        <v>2.2727272727272729</v>
      </c>
      <c r="G16" t="s">
        <v>136</v>
      </c>
    </row>
    <row r="17" spans="1:10" ht="45" x14ac:dyDescent="0.25">
      <c r="A17" s="9" t="s">
        <v>116</v>
      </c>
      <c r="B17" s="6">
        <v>2</v>
      </c>
      <c r="C17" s="7">
        <v>45465.196049262151</v>
      </c>
      <c r="D17" s="6">
        <v>1519</v>
      </c>
      <c r="E17" s="8">
        <v>0.1316655694535879</v>
      </c>
      <c r="F17" s="8">
        <v>2.2727272727272729</v>
      </c>
      <c r="G17" t="s">
        <v>135</v>
      </c>
    </row>
    <row r="18" spans="1:10" ht="30" x14ac:dyDescent="0.25">
      <c r="A18" s="9" t="s">
        <v>117</v>
      </c>
      <c r="B18" s="6">
        <v>2</v>
      </c>
      <c r="C18" s="7">
        <v>45689.517148437502</v>
      </c>
      <c r="D18" s="6">
        <v>2792</v>
      </c>
      <c r="E18" s="8">
        <v>7.1633237822349566E-2</v>
      </c>
      <c r="F18" s="8">
        <v>2.2727272727272729</v>
      </c>
      <c r="G18" t="s">
        <v>137</v>
      </c>
    </row>
    <row r="19" spans="1:10" ht="30" x14ac:dyDescent="0.25">
      <c r="A19" s="9" t="s">
        <v>118</v>
      </c>
      <c r="B19" s="6">
        <v>1</v>
      </c>
      <c r="C19" s="7">
        <v>45593.379534505213</v>
      </c>
      <c r="D19" s="6">
        <v>782</v>
      </c>
      <c r="E19" s="8">
        <v>0.12787723785166241</v>
      </c>
      <c r="F19" s="8">
        <v>1.136363636363636</v>
      </c>
      <c r="G19" t="s">
        <v>132</v>
      </c>
    </row>
    <row r="20" spans="1:10" ht="30" x14ac:dyDescent="0.25">
      <c r="A20" s="9" t="s">
        <v>119</v>
      </c>
      <c r="B20" s="6">
        <v>1</v>
      </c>
      <c r="C20" s="7">
        <v>45625.425405815971</v>
      </c>
      <c r="D20" s="6">
        <v>1198</v>
      </c>
      <c r="E20" s="8">
        <v>8.347245409015025E-2</v>
      </c>
      <c r="F20" s="8">
        <v>1.136363636363636</v>
      </c>
      <c r="G20" t="s">
        <v>138</v>
      </c>
    </row>
    <row r="21" spans="1:10" ht="45" x14ac:dyDescent="0.25">
      <c r="A21" s="9" t="s">
        <v>120</v>
      </c>
      <c r="B21" s="6">
        <v>1</v>
      </c>
      <c r="C21" s="7">
        <v>45817.700633680557</v>
      </c>
      <c r="D21" s="6">
        <v>690</v>
      </c>
      <c r="E21" s="8">
        <v>0.14492753623188409</v>
      </c>
      <c r="F21" s="8">
        <v>1.136363636363636</v>
      </c>
      <c r="G21" t="s">
        <v>134</v>
      </c>
    </row>
    <row r="22" spans="1:10" ht="30" x14ac:dyDescent="0.25">
      <c r="A22" s="9" t="s">
        <v>121</v>
      </c>
      <c r="B22" s="6">
        <v>1</v>
      </c>
      <c r="C22" s="7">
        <v>45849.746504991323</v>
      </c>
      <c r="D22" s="6">
        <v>877</v>
      </c>
      <c r="E22" s="8">
        <v>0.1140250855188141</v>
      </c>
      <c r="F22" s="8">
        <v>1.136363636363636</v>
      </c>
      <c r="G22" t="s">
        <v>138</v>
      </c>
    </row>
    <row r="23" spans="1:10" ht="45" x14ac:dyDescent="0.25">
      <c r="A23" s="9" t="s">
        <v>122</v>
      </c>
      <c r="B23" s="6">
        <v>1</v>
      </c>
      <c r="C23" s="7">
        <v>45881.792376302081</v>
      </c>
      <c r="D23" s="6">
        <v>1145</v>
      </c>
      <c r="E23" s="8">
        <v>8.7336244541484712E-2</v>
      </c>
      <c r="F23" s="8">
        <v>1.136363636363636</v>
      </c>
      <c r="G23" t="s">
        <v>138</v>
      </c>
    </row>
    <row r="24" spans="1:10" ht="45" x14ac:dyDescent="0.25">
      <c r="A24" s="9" t="s">
        <v>123</v>
      </c>
      <c r="B24" s="6">
        <v>1</v>
      </c>
      <c r="C24" s="7">
        <v>45913.838247612854</v>
      </c>
      <c r="D24" s="6">
        <v>539</v>
      </c>
      <c r="E24" s="8">
        <v>0.1855287569573284</v>
      </c>
      <c r="F24" s="8">
        <v>1.136363636363636</v>
      </c>
      <c r="G24" t="s">
        <v>132</v>
      </c>
    </row>
    <row r="25" spans="1:10" ht="45" x14ac:dyDescent="0.25">
      <c r="A25" s="9" t="s">
        <v>124</v>
      </c>
      <c r="B25" s="6">
        <v>1</v>
      </c>
      <c r="C25" s="7">
        <v>45945.884118923612</v>
      </c>
      <c r="D25" s="6">
        <v>516</v>
      </c>
      <c r="E25" s="8">
        <v>0.19379844961240311</v>
      </c>
      <c r="F25" s="8">
        <v>1.136363636363636</v>
      </c>
      <c r="G25" t="s">
        <v>132</v>
      </c>
    </row>
    <row r="26" spans="1:10" ht="60" x14ac:dyDescent="0.25">
      <c r="A26" s="9" t="s">
        <v>125</v>
      </c>
      <c r="B26" s="6">
        <v>1</v>
      </c>
      <c r="C26" s="7">
        <v>45977.929990234377</v>
      </c>
      <c r="D26" s="6">
        <v>698</v>
      </c>
      <c r="E26" s="8">
        <v>0.1432664756446991</v>
      </c>
      <c r="F26" s="8">
        <v>1.136363636363636</v>
      </c>
      <c r="G26" t="s">
        <v>134</v>
      </c>
    </row>
    <row r="29" spans="1:10" x14ac:dyDescent="0.25">
      <c r="G29">
        <f>COUNTIF(Tabelle3[Spalte7], "na")</f>
        <v>13</v>
      </c>
      <c r="H29">
        <f>COUNTIF(Tabelle3[Spalte7], "k")</f>
        <v>5</v>
      </c>
      <c r="I29">
        <f>COUNTIF(Tabelle3[Spalte7], "p")</f>
        <v>4</v>
      </c>
      <c r="J29">
        <f>COUNTIF(Tabelle3[Spalte7], "v")</f>
        <v>3</v>
      </c>
    </row>
    <row r="30" spans="1:10" x14ac:dyDescent="0.25">
      <c r="G30">
        <f>SUMIFS(Tabelle3[Spalte6],Tabelle3[Spalte7],"na")</f>
        <v>72.72727272727272</v>
      </c>
      <c r="H30">
        <f>SUMIFS(Tabelle3[Spalte6],Tabelle3[Spalte7],"k")</f>
        <v>14.772727272727273</v>
      </c>
      <c r="I30">
        <f>SUMIFS(Tabelle3[Spalte6],Tabelle3[Spalte7],"p")</f>
        <v>9.0909090909090899</v>
      </c>
      <c r="J30">
        <f>SUMIFS(Tabelle3[Spalte6],Tabelle3[Spalte7],"v")</f>
        <v>3.4090909090909083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Topic_Gesamtwerte</vt:lpstr>
      <vt:lpstr>Tabelle2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Jannis Kuck</cp:lastModifiedBy>
  <dcterms:created xsi:type="dcterms:W3CDTF">2026-08-19T13:13:15Z</dcterms:created>
  <dcterms:modified xsi:type="dcterms:W3CDTF">2026-08-21T20:22:31Z</dcterms:modified>
</cp:coreProperties>
</file>