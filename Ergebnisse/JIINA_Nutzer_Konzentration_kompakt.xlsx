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Ordner für Ordner xD\UNI Hildesheim\- Bachelorarbeit Woop Woop -\"/>
    </mc:Choice>
  </mc:AlternateContent>
  <xr:revisionPtr revIDLastSave="0" documentId="13_ncr:1_{95E1ED5F-39B0-4D68-9A74-E8DD052ABBD2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Nutzer_Konzentration" sheetId="1" r:id="rId1"/>
    <sheet name="Methodik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/>
  <c r="X35" i="1"/>
  <c r="V35" i="1"/>
</calcChain>
</file>

<file path=xl/sharedStrings.xml><?xml version="1.0" encoding="utf-8"?>
<sst xmlns="http://schemas.openxmlformats.org/spreadsheetml/2006/main" count="100" uniqueCount="76">
  <si>
    <t>Topic-Nr</t>
  </si>
  <si>
    <t>Kommentare</t>
  </si>
  <si>
    <t>Verschiedene Nutzer</t>
  </si>
  <si>
    <t>Anteil Nutzer am Gesamtkorpus (%)</t>
  </si>
  <si>
    <t>Ø Kommentare pro Nutzer</t>
  </si>
  <si>
    <t>Median Kommentare pro Nutzer</t>
  </si>
  <si>
    <t>Standardabweichung Kommentare pro Nutzer</t>
  </si>
  <si>
    <t>Nutzer mit genau 1 Kommentar</t>
  </si>
  <si>
    <t>Anteil Nutzer mit genau 1 Kommentar (%)</t>
  </si>
  <si>
    <t>Anteil Nutzer mit &lt;=2 Kommentaren (%)</t>
  </si>
  <si>
    <t>Anteil Nutzer mit &lt;=5 Kommentaren (%)</t>
  </si>
  <si>
    <t>Nutzer mit &gt;=10 Kommentaren</t>
  </si>
  <si>
    <t>Anteil Nutzer mit &gt;=10 Kommentaren (%)</t>
  </si>
  <si>
    <t>Gini Nutzerkommentare</t>
  </si>
  <si>
    <t>Nutzer für 50% der Kommentare</t>
  </si>
  <si>
    <t>Anteil Nutzer für 50% der Kommentare (%)</t>
  </si>
  <si>
    <t>Aktivster Nutzer</t>
  </si>
  <si>
    <t>Kommentare aktivster Nutzer</t>
  </si>
  <si>
    <t>@Mister_Garrak</t>
  </si>
  <si>
    <t>@MrMinime576</t>
  </si>
  <si>
    <t>@markushardt6942</t>
  </si>
  <si>
    <t>@HerbstDeutschland</t>
  </si>
  <si>
    <t>@cancelervalorum2529</t>
  </si>
  <si>
    <t>@XY-uc1tw</t>
  </si>
  <si>
    <t>@genroehr</t>
  </si>
  <si>
    <t>@Propeller-auf-See</t>
  </si>
  <si>
    <t>@HenrykJadwiszczak</t>
  </si>
  <si>
    <t>@waltergro9102</t>
  </si>
  <si>
    <t>@pablobreitner8626</t>
  </si>
  <si>
    <t>@user-sw1ni2wd8e</t>
  </si>
  <si>
    <t>@thrashslayer8130</t>
  </si>
  <si>
    <t>@Wolf-yn6xf</t>
  </si>
  <si>
    <t>@kronotec9579</t>
  </si>
  <si>
    <t>@doenertellerversace_mit_alles</t>
  </si>
  <si>
    <t>@martinocatania1404</t>
  </si>
  <si>
    <t>@Linda-fn1zv</t>
  </si>
  <si>
    <t>@DukeNukem-p4z</t>
  </si>
  <si>
    <t>@VarinderPokubiatto-v9p</t>
  </si>
  <si>
    <t>Kennzahl</t>
  </si>
  <si>
    <t>Bedeutung</t>
  </si>
  <si>
    <t>Für deine Frage besonders relevant</t>
  </si>
  <si>
    <t>Breite der Nutzerbasis des Topics</t>
  </si>
  <si>
    <t>Ja</t>
  </si>
  <si>
    <t>Durchschnittliche individuelle Aktivität</t>
  </si>
  <si>
    <t>Typische individuelle Aktivität; robust gegenüber Extremwerten</t>
  </si>
  <si>
    <t>Sehr ja</t>
  </si>
  <si>
    <t>Streuung der individuellen Kommentarzahlen</t>
  </si>
  <si>
    <t>P25/P50/P75/P90/P95</t>
  </si>
  <si>
    <t>Verteilung der individuellen Aktivität</t>
  </si>
  <si>
    <t>Top-1-Nutzer Anteil</t>
  </si>
  <si>
    <t>Konzentration auf den aktivsten Nutzer</t>
  </si>
  <si>
    <t>Top-5-Nutzer Anteil</t>
  </si>
  <si>
    <t>Konzentration auf die fünf aktivsten Nutzer</t>
  </si>
  <si>
    <t>Top-10-Nutzer Anteil</t>
  </si>
  <si>
    <t>Konzentration auf die zehn aktivsten Nutzer</t>
  </si>
  <si>
    <t>Anteil Nutzer mit genau 1 Kommentar</t>
  </si>
  <si>
    <t>Wie groß die Gruppe der Einmal-Kommentierenden ist</t>
  </si>
  <si>
    <t>Anteil Nutzer &gt;=10 Kommentare</t>
  </si>
  <si>
    <t>Wie groß die Gruppe besonders aktiver Nutzer ist</t>
  </si>
  <si>
    <t>Kommentaranteil Nutzer &gt;=10 Kommentare</t>
  </si>
  <si>
    <t>Wie viel des Topic-Volumens von besonders aktiven Nutzern stammt</t>
  </si>
  <si>
    <t>Ungleichheit der Kommentarverteilung; 0 = vollkommen gleich</t>
  </si>
  <si>
    <t>Anteil Nutzer für 50% der Kommentare</t>
  </si>
  <si>
    <t>Wie klein die Nutzergruppe ist, die bereits 50% aller Kommentare erzeugt</t>
  </si>
  <si>
    <t xml:space="preserve">Median </t>
  </si>
  <si>
    <t>Ø Kommentarezahl</t>
  </si>
  <si>
    <t>Stabw</t>
  </si>
  <si>
    <t>Minimum</t>
  </si>
  <si>
    <t>Maximum</t>
  </si>
  <si>
    <t>Top-1-Nutzer</t>
  </si>
  <si>
    <t>Top-1-Nutzer (%)</t>
  </si>
  <si>
    <t>Top-5-Nutzer</t>
  </si>
  <si>
    <t>Top-5-Nutzer (%)</t>
  </si>
  <si>
    <t>Top-10-Nutzer</t>
  </si>
  <si>
    <t>Top-10-Nutzer  (%)</t>
  </si>
  <si>
    <t xml:space="preserve">Gini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</si>
</sst>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F8844-83F8-4C33-B3C2-2093EB040F00}" name="Tabelle1" displayName="Tabelle1" ref="A1:Z33" totalsRowShown="0" headerRowDxfId="2" headerRowBorderDxfId="1" tableBorderDxfId="0">
  <autoFilter ref="A1:Z33" xr:uid="{D42F8844-83F8-4C33-B3C2-2093EB040F00}"/>
  <tableColumns count="26">
    <tableColumn id="1" xr3:uid="{A700548F-3B18-4662-AAF7-A2974C2984AF}" name="Topic-Nr"/>
    <tableColumn id="2" xr3:uid="{BB97683A-63F3-4556-9752-BF780DD31663}" name="Kommentare"/>
    <tableColumn id="3" xr3:uid="{FDEC1A77-2C25-4472-B803-339F3173D699}" name="Verschiedene Nutzer"/>
    <tableColumn id="4" xr3:uid="{E33D16B8-B06D-4F2B-8D42-D102A8EA0030}" name="Anteil Nutzer am Gesamtkorpus (%)"/>
    <tableColumn id="5" xr3:uid="{729CE97A-0C76-4259-B1A6-3FD0572526DA}" name="Ø Kommentarezahl"/>
    <tableColumn id="6" xr3:uid="{2F689BCB-EF53-46A5-AA38-FD55A0E94630}" name="Median "/>
    <tableColumn id="7" xr3:uid="{5DC31F74-4912-434D-98CE-7C2841C5B0A9}" name="Stabw"/>
    <tableColumn id="8" xr3:uid="{3AF05836-C902-4D54-8763-DD9CB7F0CF1C}" name="Minimum"/>
    <tableColumn id="9" xr3:uid="{21301C77-6C11-4D4D-9A51-3F29354EAB53}" name="Maximum"/>
    <tableColumn id="15" xr3:uid="{817C5DB1-B6E0-4C59-8B5B-D0D0FFE0BF89}" name="Top-1-Nutzer"/>
    <tableColumn id="16" xr3:uid="{B81979A9-D292-4E36-965C-6C683AD7875D}" name="Top-1-Nutzer (%)"/>
    <tableColumn id="17" xr3:uid="{9664DDE7-0D51-42E6-A4BB-1B8A0496C6C1}" name="Top-5-Nutzer"/>
    <tableColumn id="18" xr3:uid="{10EC6B3D-4AC9-4ABD-9CD4-6FA350680550}" name="Top-5-Nutzer (%)"/>
    <tableColumn id="19" xr3:uid="{A0F8308B-2DFC-47F4-9648-1FC9014A7E1C}" name="Top-10-Nutzer"/>
    <tableColumn id="20" xr3:uid="{B6736161-7766-4F38-8F14-AADA525FF9D2}" name="Top-10-Nutzer  (%)"/>
    <tableColumn id="21" xr3:uid="{BCC6CD6D-4F7D-4CBC-8F7F-90D6F0F62F8C}" name="Nutzer mit genau 1 Kommentar"/>
    <tableColumn id="22" xr3:uid="{186D3DA1-59A1-4441-A756-FAAFE2051125}" name="Anteil Nutzer mit genau 1 Kommentar (%)"/>
    <tableColumn id="23" xr3:uid="{FAAD1E4B-A045-4B93-8579-972A130FF9CF}" name="Anteil Nutzer mit &lt;=2 Kommentaren (%)"/>
    <tableColumn id="24" xr3:uid="{1FF7CBE2-09AC-494F-A405-D39D64F69E6D}" name="Anteil Nutzer mit &lt;=5 Kommentaren (%)"/>
    <tableColumn id="25" xr3:uid="{BEE20614-19AA-4528-84A5-A114655FEF9F}" name="Nutzer mit &gt;=10 Kommentaren"/>
    <tableColumn id="26" xr3:uid="{21DDF385-5B01-4FBF-A5E4-A11F0A3F5EE3}" name="Anteil Nutzer mit &gt;=10 Kommentaren (%)"/>
    <tableColumn id="28" xr3:uid="{E1EB208C-4255-41F4-B381-C20D002D11D0}" name="Gini "/>
    <tableColumn id="29" xr3:uid="{56D4331F-AD15-43B1-8CC7-DB1560A7A774}" name="Nutzer für 50% der Kommentare"/>
    <tableColumn id="30" xr3:uid="{A5AEEE8B-6D67-423C-8B18-622F35183CA2}" name="Anteil Nutzer für 50% der Kommentare (%)"/>
    <tableColumn id="31" xr3:uid="{18791A26-A068-4385-8226-8E2C7FB2D7F1}" name="Aktivster Nutzer"/>
    <tableColumn id="32" xr3:uid="{A0B46AD2-5E7C-48A5-A725-D3F29789DE6B}" name="Kommentare aktivster Nutz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"/>
  <sheetViews>
    <sheetView tabSelected="1" workbookViewId="0">
      <pane xSplit="1" topLeftCell="B1" activePane="topRight" state="frozen"/>
      <selection pane="topRight" activeCell="B11" sqref="B11"/>
    </sheetView>
  </sheetViews>
  <sheetFormatPr baseColWidth="10" defaultColWidth="9.140625" defaultRowHeight="15" x14ac:dyDescent="0.25"/>
  <cols>
    <col min="1" max="1" width="10.7109375" customWidth="1"/>
    <col min="2" max="2" width="15.42578125" customWidth="1"/>
    <col min="3" max="3" width="21.85546875" customWidth="1"/>
    <col min="4" max="4" width="34.85546875" customWidth="1"/>
    <col min="5" max="5" width="18.85546875" customWidth="1"/>
    <col min="6" max="6" width="13.28515625" customWidth="1"/>
    <col min="7" max="7" width="12.28515625" customWidth="1"/>
    <col min="8" max="8" width="12.42578125" customWidth="1"/>
    <col min="9" max="9" width="10.28515625" customWidth="1"/>
    <col min="10" max="10" width="15.140625" customWidth="1"/>
    <col min="11" max="11" width="24.140625" customWidth="1"/>
    <col min="12" max="12" width="13.42578125" customWidth="1"/>
    <col min="13" max="13" width="18.5703125" customWidth="1"/>
    <col min="14" max="14" width="15.28515625" customWidth="1"/>
    <col min="15" max="15" width="20.7109375" customWidth="1"/>
    <col min="16" max="16" width="30.7109375" customWidth="1"/>
    <col min="17" max="17" width="40" customWidth="1"/>
    <col min="18" max="19" width="38.42578125" customWidth="1"/>
    <col min="20" max="20" width="30.140625" customWidth="1"/>
    <col min="21" max="21" width="39.42578125" customWidth="1"/>
    <col min="22" max="22" width="13" customWidth="1"/>
    <col min="23" max="23" width="31.5703125" customWidth="1"/>
    <col min="24" max="24" width="40.85546875" customWidth="1"/>
    <col min="25" max="25" width="17.5703125" customWidth="1"/>
    <col min="26" max="26" width="29.28515625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8" t="s">
        <v>65</v>
      </c>
      <c r="F1" s="8" t="s">
        <v>64</v>
      </c>
      <c r="G1" s="8" t="s">
        <v>66</v>
      </c>
      <c r="H1" s="8" t="s">
        <v>67</v>
      </c>
      <c r="I1" s="8" t="s">
        <v>68</v>
      </c>
      <c r="J1" s="8" t="s">
        <v>69</v>
      </c>
      <c r="K1" s="8" t="s">
        <v>70</v>
      </c>
      <c r="L1" s="8" t="s">
        <v>71</v>
      </c>
      <c r="M1" s="8" t="s">
        <v>72</v>
      </c>
      <c r="N1" s="8" t="s">
        <v>73</v>
      </c>
      <c r="O1" s="8" t="s">
        <v>74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8" t="s">
        <v>75</v>
      </c>
      <c r="W1" s="2" t="s">
        <v>14</v>
      </c>
      <c r="X1" s="2" t="s">
        <v>15</v>
      </c>
      <c r="Y1" s="2" t="s">
        <v>16</v>
      </c>
      <c r="Z1" s="2" t="s">
        <v>17</v>
      </c>
    </row>
    <row r="2" spans="1:26" x14ac:dyDescent="0.25">
      <c r="A2">
        <v>1</v>
      </c>
      <c r="B2">
        <v>1365</v>
      </c>
      <c r="C2">
        <v>1017</v>
      </c>
      <c r="D2">
        <v>4.4850000000000003</v>
      </c>
      <c r="E2">
        <v>1.3420000000000001</v>
      </c>
      <c r="F2">
        <v>1</v>
      </c>
      <c r="G2">
        <v>2.27</v>
      </c>
      <c r="H2">
        <v>1</v>
      </c>
      <c r="I2">
        <v>52</v>
      </c>
      <c r="J2">
        <v>52</v>
      </c>
      <c r="K2">
        <v>3.81</v>
      </c>
      <c r="L2">
        <v>122</v>
      </c>
      <c r="M2">
        <v>8.9380000000000006</v>
      </c>
      <c r="N2">
        <v>157</v>
      </c>
      <c r="O2">
        <v>11.502000000000001</v>
      </c>
      <c r="P2">
        <v>890</v>
      </c>
      <c r="Q2">
        <v>87.512</v>
      </c>
      <c r="R2">
        <v>94.296999999999997</v>
      </c>
      <c r="S2">
        <v>98.82</v>
      </c>
      <c r="T2">
        <v>3</v>
      </c>
      <c r="U2">
        <v>0.29499999999999998</v>
      </c>
      <c r="V2">
        <v>0.23899999999999999</v>
      </c>
      <c r="W2">
        <v>335</v>
      </c>
      <c r="X2">
        <v>32.94</v>
      </c>
      <c r="Y2" t="s">
        <v>18</v>
      </c>
      <c r="Z2">
        <v>52</v>
      </c>
    </row>
    <row r="3" spans="1:26" x14ac:dyDescent="0.25">
      <c r="A3">
        <v>3</v>
      </c>
      <c r="B3">
        <v>886</v>
      </c>
      <c r="C3">
        <v>687</v>
      </c>
      <c r="D3">
        <v>3.03</v>
      </c>
      <c r="E3">
        <v>1.29</v>
      </c>
      <c r="F3">
        <v>1</v>
      </c>
      <c r="G3">
        <v>1.069</v>
      </c>
      <c r="H3">
        <v>1</v>
      </c>
      <c r="I3">
        <v>12</v>
      </c>
      <c r="J3">
        <v>12</v>
      </c>
      <c r="K3">
        <v>1.3540000000000001</v>
      </c>
      <c r="L3">
        <v>48</v>
      </c>
      <c r="M3">
        <v>5.4180000000000001</v>
      </c>
      <c r="N3">
        <v>79</v>
      </c>
      <c r="O3">
        <v>8.9160000000000004</v>
      </c>
      <c r="P3">
        <v>601</v>
      </c>
      <c r="Q3">
        <v>87.481999999999999</v>
      </c>
      <c r="R3">
        <v>94.322999999999993</v>
      </c>
      <c r="S3">
        <v>98.108000000000004</v>
      </c>
      <c r="T3">
        <v>2</v>
      </c>
      <c r="U3">
        <v>0.29099999999999998</v>
      </c>
      <c r="V3">
        <v>0.20799999999999999</v>
      </c>
      <c r="W3">
        <v>244</v>
      </c>
      <c r="X3">
        <v>35.517000000000003</v>
      </c>
      <c r="Y3" t="s">
        <v>19</v>
      </c>
      <c r="Z3">
        <v>12</v>
      </c>
    </row>
    <row r="4" spans="1:26" x14ac:dyDescent="0.25">
      <c r="A4">
        <v>7</v>
      </c>
      <c r="B4">
        <v>555</v>
      </c>
      <c r="C4">
        <v>493</v>
      </c>
      <c r="D4">
        <v>2.1739999999999999</v>
      </c>
      <c r="E4">
        <v>1.1259999999999999</v>
      </c>
      <c r="F4">
        <v>1</v>
      </c>
      <c r="G4">
        <v>0.61199999999999999</v>
      </c>
      <c r="H4">
        <v>1</v>
      </c>
      <c r="I4">
        <v>9</v>
      </c>
      <c r="J4">
        <v>9</v>
      </c>
      <c r="K4">
        <v>1.6220000000000001</v>
      </c>
      <c r="L4">
        <v>29</v>
      </c>
      <c r="M4">
        <v>5.2249999999999996</v>
      </c>
      <c r="N4">
        <v>48</v>
      </c>
      <c r="O4">
        <v>8.6489999999999991</v>
      </c>
      <c r="P4">
        <v>459</v>
      </c>
      <c r="Q4">
        <v>93.102999999999994</v>
      </c>
      <c r="R4">
        <v>97.971999999999994</v>
      </c>
      <c r="S4">
        <v>99.796999999999997</v>
      </c>
      <c r="T4">
        <v>0</v>
      </c>
      <c r="U4">
        <v>0</v>
      </c>
      <c r="V4">
        <v>0.107</v>
      </c>
      <c r="W4">
        <v>216</v>
      </c>
      <c r="X4">
        <v>43.813000000000002</v>
      </c>
      <c r="Y4" t="s">
        <v>20</v>
      </c>
      <c r="Z4">
        <v>9</v>
      </c>
    </row>
    <row r="5" spans="1:26" x14ac:dyDescent="0.25">
      <c r="A5">
        <v>9</v>
      </c>
      <c r="B5">
        <v>551</v>
      </c>
      <c r="C5">
        <v>458</v>
      </c>
      <c r="D5">
        <v>2.02</v>
      </c>
      <c r="E5">
        <v>1.2030000000000001</v>
      </c>
      <c r="F5">
        <v>1</v>
      </c>
      <c r="G5">
        <v>1.167</v>
      </c>
      <c r="H5">
        <v>1</v>
      </c>
      <c r="I5">
        <v>21</v>
      </c>
      <c r="J5">
        <v>21</v>
      </c>
      <c r="K5">
        <v>3.8109999999999999</v>
      </c>
      <c r="L5">
        <v>48</v>
      </c>
      <c r="M5">
        <v>8.7110000000000003</v>
      </c>
      <c r="N5">
        <v>66</v>
      </c>
      <c r="O5">
        <v>11.978</v>
      </c>
      <c r="P5">
        <v>416</v>
      </c>
      <c r="Q5">
        <v>90.83</v>
      </c>
      <c r="R5">
        <v>96.724999999999994</v>
      </c>
      <c r="S5">
        <v>99.344999999999999</v>
      </c>
      <c r="T5">
        <v>2</v>
      </c>
      <c r="U5">
        <v>0.437</v>
      </c>
      <c r="V5">
        <v>0.16</v>
      </c>
      <c r="W5">
        <v>183</v>
      </c>
      <c r="X5">
        <v>39.956000000000003</v>
      </c>
      <c r="Y5" t="s">
        <v>18</v>
      </c>
      <c r="Z5">
        <v>21</v>
      </c>
    </row>
    <row r="6" spans="1:26" x14ac:dyDescent="0.25">
      <c r="A6">
        <v>10</v>
      </c>
      <c r="B6">
        <v>519</v>
      </c>
      <c r="C6">
        <v>439</v>
      </c>
      <c r="D6">
        <v>1.9359999999999999</v>
      </c>
      <c r="E6">
        <v>1.1819999999999999</v>
      </c>
      <c r="F6">
        <v>1</v>
      </c>
      <c r="G6">
        <v>0.60699999999999998</v>
      </c>
      <c r="H6">
        <v>1</v>
      </c>
      <c r="I6">
        <v>6</v>
      </c>
      <c r="J6">
        <v>6</v>
      </c>
      <c r="K6">
        <v>1.1559999999999999</v>
      </c>
      <c r="L6">
        <v>25</v>
      </c>
      <c r="M6">
        <v>4.8170000000000002</v>
      </c>
      <c r="N6">
        <v>43</v>
      </c>
      <c r="O6">
        <v>8.2850000000000001</v>
      </c>
      <c r="P6">
        <v>388</v>
      </c>
      <c r="Q6">
        <v>88.382999999999996</v>
      </c>
      <c r="R6">
        <v>96.355000000000004</v>
      </c>
      <c r="S6">
        <v>99.772000000000006</v>
      </c>
      <c r="T6">
        <v>0</v>
      </c>
      <c r="U6">
        <v>0</v>
      </c>
      <c r="V6">
        <v>0.14099999999999999</v>
      </c>
      <c r="W6">
        <v>180</v>
      </c>
      <c r="X6">
        <v>41.002000000000002</v>
      </c>
      <c r="Y6" t="s">
        <v>21</v>
      </c>
      <c r="Z6">
        <v>6</v>
      </c>
    </row>
    <row r="7" spans="1:26" x14ac:dyDescent="0.25">
      <c r="A7">
        <v>12</v>
      </c>
      <c r="B7">
        <v>463</v>
      </c>
      <c r="C7">
        <v>376</v>
      </c>
      <c r="D7">
        <v>1.6579999999999999</v>
      </c>
      <c r="E7">
        <v>1.2310000000000001</v>
      </c>
      <c r="F7">
        <v>1</v>
      </c>
      <c r="G7">
        <v>0.76700000000000002</v>
      </c>
      <c r="H7">
        <v>1</v>
      </c>
      <c r="I7">
        <v>7</v>
      </c>
      <c r="J7">
        <v>7</v>
      </c>
      <c r="K7">
        <v>1.512</v>
      </c>
      <c r="L7">
        <v>30</v>
      </c>
      <c r="M7">
        <v>6.4790000000000001</v>
      </c>
      <c r="N7">
        <v>51</v>
      </c>
      <c r="O7">
        <v>11.015000000000001</v>
      </c>
      <c r="P7">
        <v>326</v>
      </c>
      <c r="Q7">
        <v>86.701999999999998</v>
      </c>
      <c r="R7">
        <v>95.745000000000005</v>
      </c>
      <c r="S7">
        <v>99.201999999999998</v>
      </c>
      <c r="T7">
        <v>0</v>
      </c>
      <c r="U7">
        <v>0</v>
      </c>
      <c r="V7">
        <v>0.17100000000000001</v>
      </c>
      <c r="W7">
        <v>145</v>
      </c>
      <c r="X7">
        <v>38.564</v>
      </c>
      <c r="Y7" t="s">
        <v>22</v>
      </c>
      <c r="Z7">
        <v>7</v>
      </c>
    </row>
    <row r="8" spans="1:26" x14ac:dyDescent="0.25">
      <c r="A8">
        <v>16</v>
      </c>
      <c r="B8">
        <v>403</v>
      </c>
      <c r="C8">
        <v>359</v>
      </c>
      <c r="D8">
        <v>1.583</v>
      </c>
      <c r="E8">
        <v>1.123</v>
      </c>
      <c r="F8">
        <v>1</v>
      </c>
      <c r="G8">
        <v>0.49199999999999999</v>
      </c>
      <c r="H8">
        <v>1</v>
      </c>
      <c r="I8">
        <v>5</v>
      </c>
      <c r="J8">
        <v>5</v>
      </c>
      <c r="K8">
        <v>1.2410000000000001</v>
      </c>
      <c r="L8">
        <v>21</v>
      </c>
      <c r="M8">
        <v>5.2110000000000003</v>
      </c>
      <c r="N8">
        <v>35</v>
      </c>
      <c r="O8">
        <v>8.6850000000000005</v>
      </c>
      <c r="P8">
        <v>330</v>
      </c>
      <c r="Q8">
        <v>91.921999999999997</v>
      </c>
      <c r="R8">
        <v>97.492999999999995</v>
      </c>
      <c r="S8">
        <v>100</v>
      </c>
      <c r="T8">
        <v>0</v>
      </c>
      <c r="U8">
        <v>0</v>
      </c>
      <c r="V8">
        <v>0.10299999999999999</v>
      </c>
      <c r="W8">
        <v>158</v>
      </c>
      <c r="X8">
        <v>44.011000000000003</v>
      </c>
      <c r="Y8" t="s">
        <v>18</v>
      </c>
      <c r="Z8">
        <v>5</v>
      </c>
    </row>
    <row r="9" spans="1:26" x14ac:dyDescent="0.25">
      <c r="A9">
        <v>17</v>
      </c>
      <c r="B9">
        <v>391</v>
      </c>
      <c r="C9">
        <v>299</v>
      </c>
      <c r="D9">
        <v>1.319</v>
      </c>
      <c r="E9">
        <v>1.3080000000000001</v>
      </c>
      <c r="F9">
        <v>1</v>
      </c>
      <c r="G9">
        <v>2.2069999999999999</v>
      </c>
      <c r="H9">
        <v>1</v>
      </c>
      <c r="I9">
        <v>38</v>
      </c>
      <c r="J9">
        <v>38</v>
      </c>
      <c r="K9">
        <v>9.7189999999999994</v>
      </c>
      <c r="L9">
        <v>56</v>
      </c>
      <c r="M9">
        <v>14.321999999999999</v>
      </c>
      <c r="N9">
        <v>71</v>
      </c>
      <c r="O9">
        <v>18.158999999999999</v>
      </c>
      <c r="P9">
        <v>259</v>
      </c>
      <c r="Q9">
        <v>86.622</v>
      </c>
      <c r="R9">
        <v>96.320999999999998</v>
      </c>
      <c r="S9">
        <v>99.331000000000003</v>
      </c>
      <c r="T9">
        <v>1</v>
      </c>
      <c r="U9">
        <v>0.33400000000000002</v>
      </c>
      <c r="V9">
        <v>0.22</v>
      </c>
      <c r="W9">
        <v>104</v>
      </c>
      <c r="X9">
        <v>34.783000000000001</v>
      </c>
      <c r="Y9" t="s">
        <v>23</v>
      </c>
      <c r="Z9">
        <v>38</v>
      </c>
    </row>
    <row r="10" spans="1:26" x14ac:dyDescent="0.25">
      <c r="A10">
        <v>19</v>
      </c>
      <c r="B10">
        <v>319</v>
      </c>
      <c r="C10">
        <v>271</v>
      </c>
      <c r="D10">
        <v>1.1950000000000001</v>
      </c>
      <c r="E10">
        <v>1.177</v>
      </c>
      <c r="F10">
        <v>1</v>
      </c>
      <c r="G10">
        <v>0.66</v>
      </c>
      <c r="H10">
        <v>1</v>
      </c>
      <c r="I10">
        <v>7</v>
      </c>
      <c r="J10">
        <v>7</v>
      </c>
      <c r="K10">
        <v>2.194</v>
      </c>
      <c r="L10">
        <v>25</v>
      </c>
      <c r="M10">
        <v>7.8369999999999997</v>
      </c>
      <c r="N10">
        <v>39</v>
      </c>
      <c r="O10">
        <v>12.226000000000001</v>
      </c>
      <c r="P10">
        <v>242</v>
      </c>
      <c r="Q10">
        <v>89.299000000000007</v>
      </c>
      <c r="R10">
        <v>96.679000000000002</v>
      </c>
      <c r="S10">
        <v>99.262</v>
      </c>
      <c r="T10">
        <v>0</v>
      </c>
      <c r="U10">
        <v>0</v>
      </c>
      <c r="V10">
        <v>0.13900000000000001</v>
      </c>
      <c r="W10">
        <v>112</v>
      </c>
      <c r="X10">
        <v>41.328000000000003</v>
      </c>
      <c r="Y10" t="s">
        <v>24</v>
      </c>
      <c r="Z10">
        <v>7</v>
      </c>
    </row>
    <row r="11" spans="1:26" x14ac:dyDescent="0.25">
      <c r="A11">
        <v>21</v>
      </c>
      <c r="B11">
        <v>293</v>
      </c>
      <c r="C11">
        <v>214</v>
      </c>
      <c r="D11">
        <v>0.94399999999999995</v>
      </c>
      <c r="E11">
        <v>1.369</v>
      </c>
      <c r="F11">
        <v>1</v>
      </c>
      <c r="G11">
        <v>1.6950000000000001</v>
      </c>
      <c r="H11">
        <v>1</v>
      </c>
      <c r="I11">
        <v>23</v>
      </c>
      <c r="J11">
        <v>23</v>
      </c>
      <c r="K11">
        <v>7.85</v>
      </c>
      <c r="L11">
        <v>47</v>
      </c>
      <c r="M11">
        <v>16.041</v>
      </c>
      <c r="N11">
        <v>63</v>
      </c>
      <c r="O11">
        <v>21.501999999999999</v>
      </c>
      <c r="P11">
        <v>180</v>
      </c>
      <c r="Q11">
        <v>84.111999999999995</v>
      </c>
      <c r="R11">
        <v>94.393000000000001</v>
      </c>
      <c r="S11">
        <v>98.131</v>
      </c>
      <c r="T11">
        <v>1</v>
      </c>
      <c r="U11">
        <v>0.46700000000000003</v>
      </c>
      <c r="V11">
        <v>0.247</v>
      </c>
      <c r="W11">
        <v>68</v>
      </c>
      <c r="X11">
        <v>31.776</v>
      </c>
      <c r="Y11" t="s">
        <v>25</v>
      </c>
      <c r="Z11">
        <v>23</v>
      </c>
    </row>
    <row r="12" spans="1:26" x14ac:dyDescent="0.25">
      <c r="A12">
        <v>25</v>
      </c>
      <c r="B12">
        <v>240</v>
      </c>
      <c r="C12">
        <v>204</v>
      </c>
      <c r="D12">
        <v>0.9</v>
      </c>
      <c r="E12">
        <v>1.1759999999999999</v>
      </c>
      <c r="F12">
        <v>1</v>
      </c>
      <c r="G12">
        <v>1.32</v>
      </c>
      <c r="H12">
        <v>1</v>
      </c>
      <c r="I12">
        <v>19</v>
      </c>
      <c r="J12">
        <v>19</v>
      </c>
      <c r="K12">
        <v>7.9169999999999998</v>
      </c>
      <c r="L12">
        <v>33</v>
      </c>
      <c r="M12">
        <v>13.75</v>
      </c>
      <c r="N12">
        <v>43</v>
      </c>
      <c r="O12">
        <v>17.917000000000002</v>
      </c>
      <c r="P12">
        <v>191</v>
      </c>
      <c r="Q12">
        <v>93.626999999999995</v>
      </c>
      <c r="R12">
        <v>97.549000000000007</v>
      </c>
      <c r="S12">
        <v>99.51</v>
      </c>
      <c r="T12">
        <v>1</v>
      </c>
      <c r="U12">
        <v>0.49</v>
      </c>
      <c r="V12">
        <v>0.14599999999999999</v>
      </c>
      <c r="W12">
        <v>84</v>
      </c>
      <c r="X12">
        <v>41.176000000000002</v>
      </c>
      <c r="Y12" t="s">
        <v>24</v>
      </c>
      <c r="Z12">
        <v>19</v>
      </c>
    </row>
    <row r="13" spans="1:26" x14ac:dyDescent="0.25">
      <c r="A13">
        <v>26</v>
      </c>
      <c r="B13">
        <v>237</v>
      </c>
      <c r="C13">
        <v>204</v>
      </c>
      <c r="D13">
        <v>0.9</v>
      </c>
      <c r="E13">
        <v>1.1619999999999999</v>
      </c>
      <c r="F13">
        <v>1</v>
      </c>
      <c r="G13">
        <v>0.88700000000000001</v>
      </c>
      <c r="H13">
        <v>1</v>
      </c>
      <c r="I13">
        <v>11</v>
      </c>
      <c r="J13">
        <v>11</v>
      </c>
      <c r="K13">
        <v>4.641</v>
      </c>
      <c r="L13">
        <v>29</v>
      </c>
      <c r="M13">
        <v>12.236000000000001</v>
      </c>
      <c r="N13">
        <v>41</v>
      </c>
      <c r="O13">
        <v>17.3</v>
      </c>
      <c r="P13">
        <v>192</v>
      </c>
      <c r="Q13">
        <v>94.117999999999995</v>
      </c>
      <c r="R13">
        <v>96.569000000000003</v>
      </c>
      <c r="S13">
        <v>99.02</v>
      </c>
      <c r="T13">
        <v>1</v>
      </c>
      <c r="U13">
        <v>0.49</v>
      </c>
      <c r="V13">
        <v>0.13400000000000001</v>
      </c>
      <c r="W13">
        <v>86</v>
      </c>
      <c r="X13">
        <v>42.156999999999996</v>
      </c>
      <c r="Y13" t="s">
        <v>18</v>
      </c>
      <c r="Z13">
        <v>11</v>
      </c>
    </row>
    <row r="14" spans="1:26" x14ac:dyDescent="0.25">
      <c r="A14">
        <v>28</v>
      </c>
      <c r="B14">
        <v>216</v>
      </c>
      <c r="C14">
        <v>151</v>
      </c>
      <c r="D14">
        <v>0.66600000000000004</v>
      </c>
      <c r="E14">
        <v>1.43</v>
      </c>
      <c r="F14">
        <v>1</v>
      </c>
      <c r="G14">
        <v>3.4169999999999998</v>
      </c>
      <c r="H14">
        <v>1</v>
      </c>
      <c r="I14">
        <v>38</v>
      </c>
      <c r="J14">
        <v>38</v>
      </c>
      <c r="K14">
        <v>17.593</v>
      </c>
      <c r="L14">
        <v>66</v>
      </c>
      <c r="M14">
        <v>30.556000000000001</v>
      </c>
      <c r="N14">
        <v>75</v>
      </c>
      <c r="O14">
        <v>34.722000000000001</v>
      </c>
      <c r="P14">
        <v>142</v>
      </c>
      <c r="Q14">
        <v>94.04</v>
      </c>
      <c r="R14">
        <v>98.013000000000005</v>
      </c>
      <c r="S14">
        <v>98.674999999999997</v>
      </c>
      <c r="T14">
        <v>2</v>
      </c>
      <c r="U14">
        <v>1.325</v>
      </c>
      <c r="V14">
        <v>0.29499999999999998</v>
      </c>
      <c r="W14">
        <v>43</v>
      </c>
      <c r="X14">
        <v>28.477</v>
      </c>
      <c r="Y14" t="s">
        <v>26</v>
      </c>
      <c r="Z14">
        <v>38</v>
      </c>
    </row>
    <row r="15" spans="1:26" x14ac:dyDescent="0.25">
      <c r="A15">
        <v>30</v>
      </c>
      <c r="B15">
        <v>197</v>
      </c>
      <c r="C15">
        <v>156</v>
      </c>
      <c r="D15">
        <v>0.68799999999999994</v>
      </c>
      <c r="E15">
        <v>1.2629999999999999</v>
      </c>
      <c r="F15">
        <v>1</v>
      </c>
      <c r="G15">
        <v>1.359</v>
      </c>
      <c r="H15">
        <v>1</v>
      </c>
      <c r="I15">
        <v>16</v>
      </c>
      <c r="J15">
        <v>16</v>
      </c>
      <c r="K15">
        <v>8.1219999999999999</v>
      </c>
      <c r="L15">
        <v>34</v>
      </c>
      <c r="M15">
        <v>17.259</v>
      </c>
      <c r="N15">
        <v>44</v>
      </c>
      <c r="O15">
        <v>22.335000000000001</v>
      </c>
      <c r="P15">
        <v>139</v>
      </c>
      <c r="Q15">
        <v>89.102999999999994</v>
      </c>
      <c r="R15">
        <v>97.436000000000007</v>
      </c>
      <c r="S15">
        <v>98.076999999999998</v>
      </c>
      <c r="T15">
        <v>1</v>
      </c>
      <c r="U15">
        <v>0.64100000000000001</v>
      </c>
      <c r="V15">
        <v>0.19700000000000001</v>
      </c>
      <c r="W15">
        <v>58</v>
      </c>
      <c r="X15">
        <v>37.179000000000002</v>
      </c>
      <c r="Y15" t="s">
        <v>23</v>
      </c>
      <c r="Z15">
        <v>16</v>
      </c>
    </row>
    <row r="16" spans="1:26" x14ac:dyDescent="0.25">
      <c r="A16">
        <v>35</v>
      </c>
      <c r="B16">
        <v>165</v>
      </c>
      <c r="C16">
        <v>155</v>
      </c>
      <c r="D16">
        <v>0.68400000000000005</v>
      </c>
      <c r="E16">
        <v>1.0649999999999999</v>
      </c>
      <c r="F16">
        <v>1</v>
      </c>
      <c r="G16">
        <v>0.33600000000000002</v>
      </c>
      <c r="H16">
        <v>1</v>
      </c>
      <c r="I16">
        <v>4</v>
      </c>
      <c r="J16">
        <v>4</v>
      </c>
      <c r="K16">
        <v>2.4239999999999999</v>
      </c>
      <c r="L16">
        <v>13</v>
      </c>
      <c r="M16">
        <v>7.8789999999999996</v>
      </c>
      <c r="N16">
        <v>20</v>
      </c>
      <c r="O16">
        <v>12.121</v>
      </c>
      <c r="P16">
        <v>148</v>
      </c>
      <c r="Q16">
        <v>95.483999999999995</v>
      </c>
      <c r="R16">
        <v>98.71</v>
      </c>
      <c r="S16">
        <v>100</v>
      </c>
      <c r="T16">
        <v>0</v>
      </c>
      <c r="U16">
        <v>0</v>
      </c>
      <c r="V16">
        <v>5.8000000000000003E-2</v>
      </c>
      <c r="W16">
        <v>73</v>
      </c>
      <c r="X16">
        <v>47.097000000000001</v>
      </c>
      <c r="Y16" t="s">
        <v>27</v>
      </c>
      <c r="Z16">
        <v>4</v>
      </c>
    </row>
    <row r="17" spans="1:26" x14ac:dyDescent="0.25">
      <c r="A17">
        <v>38</v>
      </c>
      <c r="B17">
        <v>135</v>
      </c>
      <c r="C17">
        <v>125</v>
      </c>
      <c r="D17">
        <v>0.55100000000000005</v>
      </c>
      <c r="E17">
        <v>1.08</v>
      </c>
      <c r="F17">
        <v>1</v>
      </c>
      <c r="G17">
        <v>0.41299999999999998</v>
      </c>
      <c r="H17">
        <v>1</v>
      </c>
      <c r="I17">
        <v>5</v>
      </c>
      <c r="J17">
        <v>5</v>
      </c>
      <c r="K17">
        <v>3.7040000000000002</v>
      </c>
      <c r="L17">
        <v>13</v>
      </c>
      <c r="M17">
        <v>9.6300000000000008</v>
      </c>
      <c r="N17">
        <v>20</v>
      </c>
      <c r="O17">
        <v>14.815</v>
      </c>
      <c r="P17">
        <v>118</v>
      </c>
      <c r="Q17">
        <v>94.4</v>
      </c>
      <c r="R17">
        <v>99.2</v>
      </c>
      <c r="S17">
        <v>100</v>
      </c>
      <c r="T17">
        <v>0</v>
      </c>
      <c r="U17">
        <v>0</v>
      </c>
      <c r="V17">
        <v>7.0999999999999994E-2</v>
      </c>
      <c r="W17">
        <v>58</v>
      </c>
      <c r="X17">
        <v>46.4</v>
      </c>
      <c r="Y17" t="s">
        <v>28</v>
      </c>
      <c r="Z17">
        <v>5</v>
      </c>
    </row>
    <row r="18" spans="1:26" x14ac:dyDescent="0.25">
      <c r="A18">
        <v>40</v>
      </c>
      <c r="B18">
        <v>129</v>
      </c>
      <c r="C18">
        <v>110</v>
      </c>
      <c r="D18">
        <v>0.48499999999999999</v>
      </c>
      <c r="E18">
        <v>1.173</v>
      </c>
      <c r="F18">
        <v>1</v>
      </c>
      <c r="G18">
        <v>0.67500000000000004</v>
      </c>
      <c r="H18">
        <v>1</v>
      </c>
      <c r="I18">
        <v>7</v>
      </c>
      <c r="J18">
        <v>7</v>
      </c>
      <c r="K18">
        <v>5.4260000000000002</v>
      </c>
      <c r="L18">
        <v>17</v>
      </c>
      <c r="M18">
        <v>13.178000000000001</v>
      </c>
      <c r="N18">
        <v>27</v>
      </c>
      <c r="O18">
        <v>20.93</v>
      </c>
      <c r="P18">
        <v>98</v>
      </c>
      <c r="Q18">
        <v>89.090999999999994</v>
      </c>
      <c r="R18">
        <v>97.272999999999996</v>
      </c>
      <c r="S18">
        <v>99.090999999999994</v>
      </c>
      <c r="T18">
        <v>0</v>
      </c>
      <c r="U18">
        <v>0</v>
      </c>
      <c r="V18">
        <v>0.13600000000000001</v>
      </c>
      <c r="W18">
        <v>46</v>
      </c>
      <c r="X18">
        <v>41.817999999999998</v>
      </c>
      <c r="Y18" t="s">
        <v>24</v>
      </c>
      <c r="Z18">
        <v>7</v>
      </c>
    </row>
    <row r="19" spans="1:26" x14ac:dyDescent="0.25">
      <c r="A19">
        <v>41</v>
      </c>
      <c r="B19">
        <v>125</v>
      </c>
      <c r="C19">
        <v>112</v>
      </c>
      <c r="D19">
        <v>0.49399999999999999</v>
      </c>
      <c r="E19">
        <v>1.1160000000000001</v>
      </c>
      <c r="F19">
        <v>1</v>
      </c>
      <c r="G19">
        <v>0.39700000000000002</v>
      </c>
      <c r="H19">
        <v>1</v>
      </c>
      <c r="I19">
        <v>4</v>
      </c>
      <c r="J19">
        <v>4</v>
      </c>
      <c r="K19">
        <v>3.2</v>
      </c>
      <c r="L19">
        <v>12</v>
      </c>
      <c r="M19">
        <v>9.6</v>
      </c>
      <c r="N19">
        <v>22</v>
      </c>
      <c r="O19">
        <v>17.600000000000001</v>
      </c>
      <c r="P19">
        <v>101</v>
      </c>
      <c r="Q19">
        <v>90.179000000000002</v>
      </c>
      <c r="R19">
        <v>99.106999999999999</v>
      </c>
      <c r="S19">
        <v>100</v>
      </c>
      <c r="T19">
        <v>0</v>
      </c>
      <c r="U19">
        <v>0</v>
      </c>
      <c r="V19">
        <v>9.5000000000000001E-2</v>
      </c>
      <c r="W19">
        <v>50</v>
      </c>
      <c r="X19">
        <v>44.643000000000001</v>
      </c>
      <c r="Y19" t="s">
        <v>25</v>
      </c>
      <c r="Z19">
        <v>4</v>
      </c>
    </row>
    <row r="20" spans="1:26" x14ac:dyDescent="0.25">
      <c r="A20">
        <v>42</v>
      </c>
      <c r="B20">
        <v>116</v>
      </c>
      <c r="C20">
        <v>102</v>
      </c>
      <c r="D20">
        <v>0.45</v>
      </c>
      <c r="E20">
        <v>1.137</v>
      </c>
      <c r="F20">
        <v>1</v>
      </c>
      <c r="G20">
        <v>0.50800000000000001</v>
      </c>
      <c r="H20">
        <v>1</v>
      </c>
      <c r="I20">
        <v>4</v>
      </c>
      <c r="J20">
        <v>4</v>
      </c>
      <c r="K20">
        <v>3.448</v>
      </c>
      <c r="L20">
        <v>15</v>
      </c>
      <c r="M20">
        <v>12.930999999999999</v>
      </c>
      <c r="N20">
        <v>24</v>
      </c>
      <c r="O20">
        <v>20.69</v>
      </c>
      <c r="P20">
        <v>93</v>
      </c>
      <c r="Q20">
        <v>91.176000000000002</v>
      </c>
      <c r="R20">
        <v>97.058999999999997</v>
      </c>
      <c r="S20">
        <v>100</v>
      </c>
      <c r="T20">
        <v>0</v>
      </c>
      <c r="U20">
        <v>0</v>
      </c>
      <c r="V20">
        <v>0.113</v>
      </c>
      <c r="W20">
        <v>44</v>
      </c>
      <c r="X20">
        <v>43.137</v>
      </c>
      <c r="Y20" t="s">
        <v>19</v>
      </c>
      <c r="Z20">
        <v>4</v>
      </c>
    </row>
    <row r="21" spans="1:26" x14ac:dyDescent="0.25">
      <c r="A21">
        <v>43</v>
      </c>
      <c r="B21">
        <v>112</v>
      </c>
      <c r="C21">
        <v>111</v>
      </c>
      <c r="D21">
        <v>0.49</v>
      </c>
      <c r="E21">
        <v>1.0089999999999999</v>
      </c>
      <c r="F21">
        <v>1</v>
      </c>
      <c r="G21">
        <v>9.5000000000000001E-2</v>
      </c>
      <c r="H21">
        <v>1</v>
      </c>
      <c r="I21">
        <v>2</v>
      </c>
      <c r="J21">
        <v>2</v>
      </c>
      <c r="K21">
        <v>1.786</v>
      </c>
      <c r="L21">
        <v>6</v>
      </c>
      <c r="M21">
        <v>5.3570000000000002</v>
      </c>
      <c r="N21">
        <v>11</v>
      </c>
      <c r="O21">
        <v>9.8209999999999997</v>
      </c>
      <c r="P21">
        <v>110</v>
      </c>
      <c r="Q21">
        <v>99.099000000000004</v>
      </c>
      <c r="R21">
        <v>100</v>
      </c>
      <c r="S21">
        <v>100</v>
      </c>
      <c r="T21">
        <v>0</v>
      </c>
      <c r="U21">
        <v>0</v>
      </c>
      <c r="V21">
        <v>8.9999999999999993E-3</v>
      </c>
      <c r="W21">
        <v>55</v>
      </c>
      <c r="X21">
        <v>49.55</v>
      </c>
      <c r="Y21" t="s">
        <v>29</v>
      </c>
      <c r="Z21">
        <v>2</v>
      </c>
    </row>
    <row r="22" spans="1:26" x14ac:dyDescent="0.25">
      <c r="A22">
        <v>44</v>
      </c>
      <c r="B22">
        <v>112</v>
      </c>
      <c r="C22">
        <v>98</v>
      </c>
      <c r="D22">
        <v>0.432</v>
      </c>
      <c r="E22">
        <v>1.143</v>
      </c>
      <c r="F22">
        <v>1</v>
      </c>
      <c r="G22">
        <v>0.79900000000000004</v>
      </c>
      <c r="H22">
        <v>1</v>
      </c>
      <c r="I22">
        <v>8</v>
      </c>
      <c r="J22">
        <v>8</v>
      </c>
      <c r="K22">
        <v>7.1429999999999998</v>
      </c>
      <c r="L22">
        <v>19</v>
      </c>
      <c r="M22">
        <v>16.963999999999999</v>
      </c>
      <c r="N22">
        <v>24</v>
      </c>
      <c r="O22">
        <v>21.428999999999998</v>
      </c>
      <c r="P22">
        <v>93</v>
      </c>
      <c r="Q22">
        <v>94.897999999999996</v>
      </c>
      <c r="R22">
        <v>96.938999999999993</v>
      </c>
      <c r="S22">
        <v>98.98</v>
      </c>
      <c r="T22">
        <v>0</v>
      </c>
      <c r="U22">
        <v>0</v>
      </c>
      <c r="V22">
        <v>0.121</v>
      </c>
      <c r="W22">
        <v>42</v>
      </c>
      <c r="X22">
        <v>42.856999999999999</v>
      </c>
      <c r="Y22" t="s">
        <v>30</v>
      </c>
      <c r="Z22">
        <v>8</v>
      </c>
    </row>
    <row r="23" spans="1:26" x14ac:dyDescent="0.25">
      <c r="A23">
        <v>45</v>
      </c>
      <c r="B23">
        <v>110</v>
      </c>
      <c r="C23">
        <v>95</v>
      </c>
      <c r="D23">
        <v>0.41899999999999998</v>
      </c>
      <c r="E23">
        <v>1.1579999999999999</v>
      </c>
      <c r="F23">
        <v>1</v>
      </c>
      <c r="G23">
        <v>0.58899999999999997</v>
      </c>
      <c r="H23">
        <v>1</v>
      </c>
      <c r="I23">
        <v>5</v>
      </c>
      <c r="J23">
        <v>5</v>
      </c>
      <c r="K23">
        <v>4.5449999999999999</v>
      </c>
      <c r="L23">
        <v>16</v>
      </c>
      <c r="M23">
        <v>14.545</v>
      </c>
      <c r="N23">
        <v>25</v>
      </c>
      <c r="O23">
        <v>22.727</v>
      </c>
      <c r="P23">
        <v>86</v>
      </c>
      <c r="Q23">
        <v>90.525999999999996</v>
      </c>
      <c r="R23">
        <v>96.841999999999999</v>
      </c>
      <c r="S23">
        <v>100</v>
      </c>
      <c r="T23">
        <v>0</v>
      </c>
      <c r="U23">
        <v>0</v>
      </c>
      <c r="V23">
        <v>0.127</v>
      </c>
      <c r="W23">
        <v>40</v>
      </c>
      <c r="X23">
        <v>42.104999999999997</v>
      </c>
      <c r="Y23" t="s">
        <v>31</v>
      </c>
      <c r="Z23">
        <v>5</v>
      </c>
    </row>
    <row r="24" spans="1:26" x14ac:dyDescent="0.25">
      <c r="A24">
        <v>46</v>
      </c>
      <c r="B24">
        <v>110</v>
      </c>
      <c r="C24">
        <v>100</v>
      </c>
      <c r="D24">
        <v>0.441</v>
      </c>
      <c r="E24">
        <v>1.1000000000000001</v>
      </c>
      <c r="F24">
        <v>1</v>
      </c>
      <c r="G24">
        <v>0.90500000000000003</v>
      </c>
      <c r="H24">
        <v>1</v>
      </c>
      <c r="I24">
        <v>10</v>
      </c>
      <c r="J24">
        <v>10</v>
      </c>
      <c r="K24">
        <v>9.0909999999999993</v>
      </c>
      <c r="L24">
        <v>15</v>
      </c>
      <c r="M24">
        <v>13.635999999999999</v>
      </c>
      <c r="N24">
        <v>20</v>
      </c>
      <c r="O24">
        <v>18.181999999999999</v>
      </c>
      <c r="P24">
        <v>98</v>
      </c>
      <c r="Q24">
        <v>98</v>
      </c>
      <c r="R24">
        <v>99</v>
      </c>
      <c r="S24">
        <v>99</v>
      </c>
      <c r="T24">
        <v>1</v>
      </c>
      <c r="U24">
        <v>1</v>
      </c>
      <c r="V24">
        <v>0.09</v>
      </c>
      <c r="W24">
        <v>45</v>
      </c>
      <c r="X24">
        <v>45</v>
      </c>
      <c r="Y24" t="s">
        <v>18</v>
      </c>
      <c r="Z24">
        <v>10</v>
      </c>
    </row>
    <row r="25" spans="1:26" x14ac:dyDescent="0.25">
      <c r="A25">
        <v>49</v>
      </c>
      <c r="B25">
        <v>100</v>
      </c>
      <c r="C25">
        <v>86</v>
      </c>
      <c r="D25">
        <v>0.379</v>
      </c>
      <c r="E25">
        <v>1.163</v>
      </c>
      <c r="F25">
        <v>1</v>
      </c>
      <c r="G25">
        <v>0.93100000000000005</v>
      </c>
      <c r="H25">
        <v>1</v>
      </c>
      <c r="I25">
        <v>9</v>
      </c>
      <c r="J25">
        <v>9</v>
      </c>
      <c r="K25">
        <v>9</v>
      </c>
      <c r="L25">
        <v>19</v>
      </c>
      <c r="M25">
        <v>19</v>
      </c>
      <c r="N25">
        <v>24</v>
      </c>
      <c r="O25">
        <v>24</v>
      </c>
      <c r="P25">
        <v>81</v>
      </c>
      <c r="Q25">
        <v>94.186000000000007</v>
      </c>
      <c r="R25">
        <v>97.674000000000007</v>
      </c>
      <c r="S25">
        <v>98.837000000000003</v>
      </c>
      <c r="T25">
        <v>0</v>
      </c>
      <c r="U25">
        <v>0</v>
      </c>
      <c r="V25">
        <v>0.13600000000000001</v>
      </c>
      <c r="W25">
        <v>36</v>
      </c>
      <c r="X25">
        <v>41.86</v>
      </c>
      <c r="Y25" t="s">
        <v>24</v>
      </c>
      <c r="Z25">
        <v>9</v>
      </c>
    </row>
    <row r="26" spans="1:26" x14ac:dyDescent="0.25">
      <c r="A26">
        <v>51</v>
      </c>
      <c r="B26">
        <v>98</v>
      </c>
      <c r="C26">
        <v>90</v>
      </c>
      <c r="D26">
        <v>0.39700000000000002</v>
      </c>
      <c r="E26">
        <v>1.089</v>
      </c>
      <c r="F26">
        <v>1</v>
      </c>
      <c r="G26">
        <v>0.38600000000000001</v>
      </c>
      <c r="H26">
        <v>1</v>
      </c>
      <c r="I26">
        <v>3</v>
      </c>
      <c r="J26">
        <v>3</v>
      </c>
      <c r="K26">
        <v>3.0609999999999999</v>
      </c>
      <c r="L26">
        <v>13</v>
      </c>
      <c r="M26">
        <v>13.265000000000001</v>
      </c>
      <c r="N26">
        <v>18</v>
      </c>
      <c r="O26">
        <v>18.367000000000001</v>
      </c>
      <c r="P26">
        <v>85</v>
      </c>
      <c r="Q26">
        <v>94.444000000000003</v>
      </c>
      <c r="R26">
        <v>96.667000000000002</v>
      </c>
      <c r="S26">
        <v>100</v>
      </c>
      <c r="T26">
        <v>0</v>
      </c>
      <c r="U26">
        <v>0</v>
      </c>
      <c r="V26">
        <v>7.8E-2</v>
      </c>
      <c r="W26">
        <v>41</v>
      </c>
      <c r="X26">
        <v>45.555999999999997</v>
      </c>
      <c r="Y26" t="s">
        <v>32</v>
      </c>
      <c r="Z26">
        <v>3</v>
      </c>
    </row>
    <row r="27" spans="1:26" x14ac:dyDescent="0.25">
      <c r="A27">
        <v>52</v>
      </c>
      <c r="B27">
        <v>92</v>
      </c>
      <c r="C27">
        <v>79</v>
      </c>
      <c r="D27">
        <v>0.34799999999999998</v>
      </c>
      <c r="E27">
        <v>1.165</v>
      </c>
      <c r="F27">
        <v>1</v>
      </c>
      <c r="G27">
        <v>0.74099999999999999</v>
      </c>
      <c r="H27">
        <v>1</v>
      </c>
      <c r="I27">
        <v>7</v>
      </c>
      <c r="J27">
        <v>7</v>
      </c>
      <c r="K27">
        <v>7.609</v>
      </c>
      <c r="L27">
        <v>16</v>
      </c>
      <c r="M27">
        <v>17.390999999999998</v>
      </c>
      <c r="N27">
        <v>23</v>
      </c>
      <c r="O27">
        <v>25</v>
      </c>
      <c r="P27">
        <v>72</v>
      </c>
      <c r="Q27">
        <v>91.138999999999996</v>
      </c>
      <c r="R27">
        <v>97.468000000000004</v>
      </c>
      <c r="S27">
        <v>98.733999999999995</v>
      </c>
      <c r="T27">
        <v>0</v>
      </c>
      <c r="U27">
        <v>0</v>
      </c>
      <c r="V27">
        <v>0.13300000000000001</v>
      </c>
      <c r="W27">
        <v>33</v>
      </c>
      <c r="X27">
        <v>41.771999999999998</v>
      </c>
      <c r="Y27" t="s">
        <v>33</v>
      </c>
      <c r="Z27">
        <v>7</v>
      </c>
    </row>
    <row r="28" spans="1:26" x14ac:dyDescent="0.25">
      <c r="A28">
        <v>55</v>
      </c>
      <c r="B28">
        <v>88</v>
      </c>
      <c r="C28">
        <v>81</v>
      </c>
      <c r="D28">
        <v>0.35699999999999998</v>
      </c>
      <c r="E28">
        <v>1.0860000000000001</v>
      </c>
      <c r="F28">
        <v>1</v>
      </c>
      <c r="G28">
        <v>0.36</v>
      </c>
      <c r="H28">
        <v>1</v>
      </c>
      <c r="I28">
        <v>3</v>
      </c>
      <c r="J28">
        <v>3</v>
      </c>
      <c r="K28">
        <v>3.4089999999999998</v>
      </c>
      <c r="L28">
        <v>12</v>
      </c>
      <c r="M28">
        <v>13.635999999999999</v>
      </c>
      <c r="N28">
        <v>17</v>
      </c>
      <c r="O28">
        <v>19.318000000000001</v>
      </c>
      <c r="P28">
        <v>76</v>
      </c>
      <c r="Q28">
        <v>93.826999999999998</v>
      </c>
      <c r="R28">
        <v>97.531000000000006</v>
      </c>
      <c r="S28">
        <v>100</v>
      </c>
      <c r="T28">
        <v>0</v>
      </c>
      <c r="U28">
        <v>0</v>
      </c>
      <c r="V28">
        <v>7.4999999999999997E-2</v>
      </c>
      <c r="W28">
        <v>37</v>
      </c>
      <c r="X28">
        <v>45.679000000000002</v>
      </c>
      <c r="Y28" t="s">
        <v>34</v>
      </c>
      <c r="Z28">
        <v>3</v>
      </c>
    </row>
    <row r="29" spans="1:26" x14ac:dyDescent="0.25">
      <c r="A29">
        <v>60</v>
      </c>
      <c r="B29">
        <v>58</v>
      </c>
      <c r="C29">
        <v>39</v>
      </c>
      <c r="D29">
        <v>0.17199999999999999</v>
      </c>
      <c r="E29">
        <v>1.4870000000000001</v>
      </c>
      <c r="F29">
        <v>1</v>
      </c>
      <c r="G29">
        <v>1.9850000000000001</v>
      </c>
      <c r="H29">
        <v>1</v>
      </c>
      <c r="I29">
        <v>13</v>
      </c>
      <c r="J29">
        <v>13</v>
      </c>
      <c r="K29">
        <v>22.414000000000001</v>
      </c>
      <c r="L29">
        <v>24</v>
      </c>
      <c r="M29">
        <v>41.378999999999998</v>
      </c>
      <c r="N29">
        <v>29</v>
      </c>
      <c r="O29">
        <v>50</v>
      </c>
      <c r="P29">
        <v>34</v>
      </c>
      <c r="Q29">
        <v>87.179000000000002</v>
      </c>
      <c r="R29">
        <v>92.308000000000007</v>
      </c>
      <c r="S29">
        <v>97.436000000000007</v>
      </c>
      <c r="T29">
        <v>1</v>
      </c>
      <c r="U29">
        <v>2.5640000000000001</v>
      </c>
      <c r="V29">
        <v>0.307</v>
      </c>
      <c r="W29">
        <v>10</v>
      </c>
      <c r="X29">
        <v>25.640999999999998</v>
      </c>
      <c r="Y29" t="s">
        <v>35</v>
      </c>
      <c r="Z29">
        <v>13</v>
      </c>
    </row>
    <row r="30" spans="1:26" x14ac:dyDescent="0.25">
      <c r="A30">
        <v>64</v>
      </c>
      <c r="B30">
        <v>52</v>
      </c>
      <c r="C30">
        <v>46</v>
      </c>
      <c r="D30">
        <v>0.20300000000000001</v>
      </c>
      <c r="E30">
        <v>1.1299999999999999</v>
      </c>
      <c r="F30">
        <v>1</v>
      </c>
      <c r="G30">
        <v>0.34100000000000003</v>
      </c>
      <c r="H30">
        <v>1</v>
      </c>
      <c r="I30">
        <v>2</v>
      </c>
      <c r="J30">
        <v>2</v>
      </c>
      <c r="K30">
        <v>3.8460000000000001</v>
      </c>
      <c r="L30">
        <v>10</v>
      </c>
      <c r="M30">
        <v>19.231000000000002</v>
      </c>
      <c r="N30">
        <v>16</v>
      </c>
      <c r="O30">
        <v>30.768999999999998</v>
      </c>
      <c r="P30">
        <v>40</v>
      </c>
      <c r="Q30">
        <v>86.956999999999994</v>
      </c>
      <c r="R30">
        <v>100</v>
      </c>
      <c r="S30">
        <v>100</v>
      </c>
      <c r="T30">
        <v>0</v>
      </c>
      <c r="U30">
        <v>0</v>
      </c>
      <c r="V30">
        <v>0.1</v>
      </c>
      <c r="W30">
        <v>20</v>
      </c>
      <c r="X30">
        <v>43.478000000000002</v>
      </c>
      <c r="Y30" t="s">
        <v>36</v>
      </c>
      <c r="Z30">
        <v>2</v>
      </c>
    </row>
    <row r="31" spans="1:26" x14ac:dyDescent="0.25">
      <c r="A31">
        <v>65</v>
      </c>
      <c r="B31">
        <v>51</v>
      </c>
      <c r="C31">
        <v>42</v>
      </c>
      <c r="D31">
        <v>0.185</v>
      </c>
      <c r="E31">
        <v>1.214</v>
      </c>
      <c r="F31">
        <v>1</v>
      </c>
      <c r="G31">
        <v>0.52</v>
      </c>
      <c r="H31">
        <v>1</v>
      </c>
      <c r="I31">
        <v>3</v>
      </c>
      <c r="J31">
        <v>3</v>
      </c>
      <c r="K31">
        <v>5.8819999999999997</v>
      </c>
      <c r="L31">
        <v>12</v>
      </c>
      <c r="M31">
        <v>23.529</v>
      </c>
      <c r="N31">
        <v>19</v>
      </c>
      <c r="O31">
        <v>37.255000000000003</v>
      </c>
      <c r="P31">
        <v>35</v>
      </c>
      <c r="Q31">
        <v>83.332999999999998</v>
      </c>
      <c r="R31">
        <v>95.238</v>
      </c>
      <c r="S31">
        <v>100</v>
      </c>
      <c r="T31">
        <v>0</v>
      </c>
      <c r="U31">
        <v>0</v>
      </c>
      <c r="V31">
        <v>0.152</v>
      </c>
      <c r="W31">
        <v>17</v>
      </c>
      <c r="X31">
        <v>40.475999999999999</v>
      </c>
      <c r="Y31" t="s">
        <v>23</v>
      </c>
      <c r="Z31">
        <v>3</v>
      </c>
    </row>
    <row r="32" spans="1:26" x14ac:dyDescent="0.25">
      <c r="A32">
        <v>67</v>
      </c>
      <c r="B32">
        <v>49</v>
      </c>
      <c r="C32">
        <v>46</v>
      </c>
      <c r="D32">
        <v>0.20300000000000001</v>
      </c>
      <c r="E32">
        <v>1.0649999999999999</v>
      </c>
      <c r="F32">
        <v>1</v>
      </c>
      <c r="G32">
        <v>0.32700000000000001</v>
      </c>
      <c r="H32">
        <v>1</v>
      </c>
      <c r="I32">
        <v>3</v>
      </c>
      <c r="J32">
        <v>3</v>
      </c>
      <c r="K32">
        <v>6.1219999999999999</v>
      </c>
      <c r="L32">
        <v>8</v>
      </c>
      <c r="M32">
        <v>16.327000000000002</v>
      </c>
      <c r="N32">
        <v>13</v>
      </c>
      <c r="O32">
        <v>26.530999999999999</v>
      </c>
      <c r="P32">
        <v>44</v>
      </c>
      <c r="Q32">
        <v>95.652000000000001</v>
      </c>
      <c r="R32">
        <v>97.825999999999993</v>
      </c>
      <c r="S32">
        <v>100</v>
      </c>
      <c r="T32">
        <v>0</v>
      </c>
      <c r="U32">
        <v>0</v>
      </c>
      <c r="V32">
        <v>5.8999999999999997E-2</v>
      </c>
      <c r="W32">
        <v>22</v>
      </c>
      <c r="X32">
        <v>47.826000000000001</v>
      </c>
      <c r="Y32" t="s">
        <v>37</v>
      </c>
      <c r="Z32">
        <v>3</v>
      </c>
    </row>
    <row r="33" spans="1:26" x14ac:dyDescent="0.25">
      <c r="A33">
        <v>71</v>
      </c>
      <c r="B33">
        <v>44</v>
      </c>
      <c r="C33">
        <v>38</v>
      </c>
      <c r="D33">
        <v>0.16800000000000001</v>
      </c>
      <c r="E33">
        <v>1.1579999999999999</v>
      </c>
      <c r="F33">
        <v>1</v>
      </c>
      <c r="G33">
        <v>0.495</v>
      </c>
      <c r="H33">
        <v>1</v>
      </c>
      <c r="I33">
        <v>3</v>
      </c>
      <c r="J33">
        <v>3</v>
      </c>
      <c r="K33">
        <v>6.8179999999999996</v>
      </c>
      <c r="L33">
        <v>11</v>
      </c>
      <c r="M33">
        <v>25</v>
      </c>
      <c r="N33">
        <v>16</v>
      </c>
      <c r="O33">
        <v>36.363999999999997</v>
      </c>
      <c r="P33">
        <v>34</v>
      </c>
      <c r="Q33">
        <v>89.474000000000004</v>
      </c>
      <c r="R33">
        <v>94.736999999999995</v>
      </c>
      <c r="S33">
        <v>100</v>
      </c>
      <c r="T33">
        <v>0</v>
      </c>
      <c r="U33">
        <v>0</v>
      </c>
      <c r="V33">
        <v>0.124</v>
      </c>
      <c r="W33">
        <v>16</v>
      </c>
      <c r="X33">
        <v>42.104999999999997</v>
      </c>
      <c r="Y33" t="s">
        <v>19</v>
      </c>
      <c r="Z33">
        <v>3</v>
      </c>
    </row>
    <row r="35" spans="1:26" x14ac:dyDescent="0.25">
      <c r="O35">
        <f>AVERAGE(Tabelle1[Top-10-Nutzer  (%)])</f>
        <v>19.9721875</v>
      </c>
      <c r="V35">
        <f>AVERAGE(Tabelle1[[Gini ]])</f>
        <v>0.14034374999999999</v>
      </c>
      <c r="X35">
        <f>AVERAGE(Tabelle1[Anteil Nutzer für 50% der Kommentare (%)])</f>
        <v>40.927468750000003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="125" workbookViewId="0">
      <selection activeCell="B11" sqref="B11"/>
    </sheetView>
  </sheetViews>
  <sheetFormatPr baseColWidth="10" defaultColWidth="9.140625" defaultRowHeight="15" x14ac:dyDescent="0.25"/>
  <cols>
    <col min="1" max="1" width="29.7109375" style="4" customWidth="1"/>
    <col min="2" max="2" width="46" style="4" customWidth="1"/>
    <col min="3" max="3" width="43.7109375" customWidth="1"/>
  </cols>
  <sheetData>
    <row r="1" spans="1:3" x14ac:dyDescent="0.25">
      <c r="A1" s="3" t="s">
        <v>38</v>
      </c>
      <c r="B1" s="3" t="s">
        <v>39</v>
      </c>
      <c r="C1" s="1" t="s">
        <v>40</v>
      </c>
    </row>
    <row r="2" spans="1:3" x14ac:dyDescent="0.25">
      <c r="A2" s="7" t="s">
        <v>2</v>
      </c>
      <c r="B2" s="6" t="s">
        <v>41</v>
      </c>
      <c r="C2" s="5" t="s">
        <v>42</v>
      </c>
    </row>
    <row r="3" spans="1:3" x14ac:dyDescent="0.25">
      <c r="A3" s="7" t="s">
        <v>4</v>
      </c>
      <c r="B3" s="6" t="s">
        <v>43</v>
      </c>
      <c r="C3" s="5" t="s">
        <v>42</v>
      </c>
    </row>
    <row r="4" spans="1:3" ht="30" x14ac:dyDescent="0.25">
      <c r="A4" s="7" t="s">
        <v>5</v>
      </c>
      <c r="B4" s="6" t="s">
        <v>44</v>
      </c>
      <c r="C4" s="5" t="s">
        <v>45</v>
      </c>
    </row>
    <row r="5" spans="1:3" ht="30" x14ac:dyDescent="0.25">
      <c r="A5" s="7" t="s">
        <v>6</v>
      </c>
      <c r="B5" s="6" t="s">
        <v>46</v>
      </c>
      <c r="C5" s="5" t="s">
        <v>42</v>
      </c>
    </row>
    <row r="6" spans="1:3" x14ac:dyDescent="0.25">
      <c r="A6" s="7" t="s">
        <v>47</v>
      </c>
      <c r="B6" s="6" t="s">
        <v>48</v>
      </c>
      <c r="C6" s="5" t="s">
        <v>45</v>
      </c>
    </row>
    <row r="7" spans="1:3" x14ac:dyDescent="0.25">
      <c r="A7" s="7" t="s">
        <v>49</v>
      </c>
      <c r="B7" s="6" t="s">
        <v>50</v>
      </c>
      <c r="C7" s="5" t="s">
        <v>45</v>
      </c>
    </row>
    <row r="8" spans="1:3" x14ac:dyDescent="0.25">
      <c r="A8" s="7" t="s">
        <v>51</v>
      </c>
      <c r="B8" s="6" t="s">
        <v>52</v>
      </c>
      <c r="C8" s="5" t="s">
        <v>45</v>
      </c>
    </row>
    <row r="9" spans="1:3" x14ac:dyDescent="0.25">
      <c r="A9" s="7" t="s">
        <v>53</v>
      </c>
      <c r="B9" s="6" t="s">
        <v>54</v>
      </c>
      <c r="C9" s="5" t="s">
        <v>42</v>
      </c>
    </row>
    <row r="10" spans="1:3" ht="30" x14ac:dyDescent="0.25">
      <c r="A10" s="7" t="s">
        <v>55</v>
      </c>
      <c r="B10" s="6" t="s">
        <v>56</v>
      </c>
      <c r="C10" s="5" t="s">
        <v>42</v>
      </c>
    </row>
    <row r="11" spans="1:3" x14ac:dyDescent="0.25">
      <c r="A11" s="7" t="s">
        <v>57</v>
      </c>
      <c r="B11" s="6" t="s">
        <v>58</v>
      </c>
      <c r="C11" s="5" t="s">
        <v>42</v>
      </c>
    </row>
    <row r="12" spans="1:3" ht="30" x14ac:dyDescent="0.25">
      <c r="A12" s="7" t="s">
        <v>59</v>
      </c>
      <c r="B12" s="6" t="s">
        <v>60</v>
      </c>
      <c r="C12" s="5" t="s">
        <v>45</v>
      </c>
    </row>
    <row r="13" spans="1:3" ht="30" x14ac:dyDescent="0.25">
      <c r="A13" s="7" t="s">
        <v>13</v>
      </c>
      <c r="B13" s="6" t="s">
        <v>61</v>
      </c>
      <c r="C13" s="5" t="s">
        <v>45</v>
      </c>
    </row>
    <row r="14" spans="1:3" ht="30" x14ac:dyDescent="0.25">
      <c r="A14" s="7" t="s">
        <v>62</v>
      </c>
      <c r="B14" s="6" t="s">
        <v>63</v>
      </c>
      <c r="C14" s="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Nutzer_Konzentration</vt:lpstr>
      <vt:lpstr>Methodik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Jannis Kuck</cp:lastModifiedBy>
  <dcterms:created xsi:type="dcterms:W3CDTF">2026-08-18T16:27:03Z</dcterms:created>
  <dcterms:modified xsi:type="dcterms:W3CDTF">2026-08-21T20:21:49Z</dcterms:modified>
</cp:coreProperties>
</file>